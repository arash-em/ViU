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fileSharing readOnlyRecommended="1"/>
  <workbookPr codeName="ThisWorkbook" defaultThemeVersion="124226"/>
  <mc:AlternateContent xmlns:mc="http://schemas.openxmlformats.org/markup-compatibility/2006">
    <mc:Choice Requires="x15">
      <x15ac:absPath xmlns:x15ac="http://schemas.microsoft.com/office/spreadsheetml/2010/11/ac" url="\\macncs01c01\asfard1$\Sync\CMI\CAD_Transffer\ViU\"/>
    </mc:Choice>
  </mc:AlternateContent>
  <xr:revisionPtr revIDLastSave="0" documentId="8_{9BBFCA9D-523F-4C2E-9B50-03C0EBB866AF}" xr6:coauthVersionLast="47" xr6:coauthVersionMax="47" xr10:uidLastSave="{00000000-0000-0000-0000-000000000000}"/>
  <workbookProtection lockStructure="1"/>
  <bookViews>
    <workbookView xWindow="-120" yWindow="-120" windowWidth="29040" windowHeight="15840" tabRatio="638" xr2:uid="{00000000-000D-0000-FFFF-FFFF00000000}"/>
  </bookViews>
  <sheets>
    <sheet name="CALCULATE 00" sheetId="7" r:id="rId1"/>
    <sheet name="EVALUATE 00" sheetId="12" r:id="rId2"/>
    <sheet name="#1 GAUGE EXAMPLE" sheetId="14" r:id="rId3"/>
    <sheet name="#2 GAUGE+PERF CALC" sheetId="16" r:id="rId4"/>
    <sheet name="#2 GAUGE+PERF EVALUATION" sheetId="13" r:id="rId5"/>
  </sheets>
  <definedNames>
    <definedName name="_xlnm.Print_Area" localSheetId="4">'#2 GAUGE+PERF EVALUATION'!$A$1:$N$91</definedName>
    <definedName name="_xlnm.Print_Area" localSheetId="1">'EVALUATE 00'!$A$1:$N$91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4" i="16" l="1"/>
  <c r="B104" i="16"/>
  <c r="J92" i="16"/>
  <c r="E88" i="16"/>
  <c r="B88" i="16"/>
  <c r="E72" i="16"/>
  <c r="B72" i="16"/>
  <c r="J60" i="16"/>
  <c r="X46" i="16"/>
  <c r="AM46" i="16" s="1"/>
  <c r="M46" i="16"/>
  <c r="Z45" i="16"/>
  <c r="AB40" i="16"/>
  <c r="Z40" i="16"/>
  <c r="I40" i="16"/>
  <c r="AM38" i="16"/>
  <c r="X36" i="16"/>
  <c r="X33" i="16"/>
  <c r="BH32" i="16"/>
  <c r="BE32" i="16"/>
  <c r="BI32" i="16" s="1"/>
  <c r="X32" i="16"/>
  <c r="I32" i="16"/>
  <c r="BH31" i="16"/>
  <c r="BI31" i="16" s="1"/>
  <c r="BE31" i="16"/>
  <c r="BI30" i="16"/>
  <c r="BH30" i="16"/>
  <c r="M30" i="16"/>
  <c r="J30" i="16"/>
  <c r="BH29" i="16"/>
  <c r="BI29" i="16" s="1"/>
  <c r="BE29" i="16"/>
  <c r="M29" i="16"/>
  <c r="J29" i="16"/>
  <c r="M99" i="16" s="1"/>
  <c r="BH28" i="16"/>
  <c r="BI28" i="16" s="1"/>
  <c r="BE28" i="16"/>
  <c r="M28" i="16"/>
  <c r="J28" i="16"/>
  <c r="BH27" i="16"/>
  <c r="BI27" i="16" s="1"/>
  <c r="X27" i="16"/>
  <c r="I27" i="16"/>
  <c r="BH26" i="16"/>
  <c r="BE26" i="16"/>
  <c r="AB26" i="16"/>
  <c r="BH25" i="16"/>
  <c r="BE25" i="16"/>
  <c r="BI24" i="16"/>
  <c r="BH24" i="16"/>
  <c r="I24" i="16"/>
  <c r="BH23" i="16"/>
  <c r="BE23" i="16"/>
  <c r="AB23" i="16"/>
  <c r="X23" i="16"/>
  <c r="BH22" i="16"/>
  <c r="BE22" i="16"/>
  <c r="BI22" i="16" s="1"/>
  <c r="N22" i="16"/>
  <c r="I22" i="16"/>
  <c r="B22" i="16"/>
  <c r="BH21" i="16"/>
  <c r="BI21" i="16" s="1"/>
  <c r="BH20" i="16"/>
  <c r="BE20" i="16"/>
  <c r="AI20" i="16"/>
  <c r="AH20" i="16"/>
  <c r="AG20" i="16"/>
  <c r="AF20" i="16"/>
  <c r="AE20" i="16"/>
  <c r="AD20" i="16"/>
  <c r="AC20" i="16"/>
  <c r="AB20" i="16"/>
  <c r="AJ16" i="16" s="1"/>
  <c r="AK16" i="16" s="1"/>
  <c r="AA20" i="16"/>
  <c r="Z20" i="16"/>
  <c r="Y20" i="16"/>
  <c r="AJ17" i="16" s="1"/>
  <c r="AK17" i="16" s="1"/>
  <c r="T20" i="16"/>
  <c r="S20" i="16"/>
  <c r="R20" i="16"/>
  <c r="Q20" i="16"/>
  <c r="P20" i="16"/>
  <c r="O20" i="16"/>
  <c r="N20" i="16"/>
  <c r="M20" i="16"/>
  <c r="L20" i="16"/>
  <c r="U18" i="16" s="1"/>
  <c r="V18" i="16" s="1"/>
  <c r="K20" i="16"/>
  <c r="J20" i="16"/>
  <c r="BH19" i="16"/>
  <c r="BE19" i="16"/>
  <c r="AX19" i="16"/>
  <c r="AW19" i="16"/>
  <c r="AV19" i="16"/>
  <c r="AU19" i="16"/>
  <c r="AT19" i="16"/>
  <c r="AS19" i="16"/>
  <c r="AR19" i="16"/>
  <c r="AQ19" i="16"/>
  <c r="AP19" i="16"/>
  <c r="AO19" i="16"/>
  <c r="AN19" i="16"/>
  <c r="AM19" i="16"/>
  <c r="E19" i="16"/>
  <c r="X19" i="16" s="1"/>
  <c r="BH18" i="16"/>
  <c r="BI18" i="16" s="1"/>
  <c r="BE18" i="16"/>
  <c r="AX18" i="16"/>
  <c r="AW18" i="16"/>
  <c r="AV18" i="16"/>
  <c r="AU18" i="16"/>
  <c r="AT18" i="16"/>
  <c r="AS18" i="16"/>
  <c r="AR18" i="16"/>
  <c r="AQ18" i="16"/>
  <c r="AP18" i="16"/>
  <c r="AO18" i="16"/>
  <c r="AN18" i="16"/>
  <c r="AM18" i="16"/>
  <c r="X18" i="16"/>
  <c r="I18" i="16"/>
  <c r="BH17" i="16"/>
  <c r="BE17" i="16"/>
  <c r="AX17" i="16"/>
  <c r="AW17" i="16"/>
  <c r="AV17" i="16"/>
  <c r="AU17" i="16"/>
  <c r="AT17" i="16"/>
  <c r="AS17" i="16"/>
  <c r="AR17" i="16"/>
  <c r="AQ17" i="16"/>
  <c r="AP17" i="16"/>
  <c r="AO17" i="16"/>
  <c r="AN17" i="16"/>
  <c r="AM17" i="16"/>
  <c r="X17" i="16"/>
  <c r="I17" i="16"/>
  <c r="BH16" i="16"/>
  <c r="BE16" i="16"/>
  <c r="AX16" i="16"/>
  <c r="AW16" i="16"/>
  <c r="AV16" i="16"/>
  <c r="AU16" i="16"/>
  <c r="AT16" i="16"/>
  <c r="AS16" i="16"/>
  <c r="AR16" i="16"/>
  <c r="AQ16" i="16"/>
  <c r="AP16" i="16"/>
  <c r="AO16" i="16"/>
  <c r="AN16" i="16"/>
  <c r="AM16" i="16"/>
  <c r="X16" i="16"/>
  <c r="I16" i="16"/>
  <c r="BH15" i="16"/>
  <c r="BI15" i="16" s="1"/>
  <c r="AX15" i="16"/>
  <c r="AW15" i="16"/>
  <c r="AV15" i="16"/>
  <c r="AU15" i="16"/>
  <c r="AT15" i="16"/>
  <c r="AS15" i="16"/>
  <c r="AR15" i="16"/>
  <c r="AQ15" i="16"/>
  <c r="AP15" i="16"/>
  <c r="AO15" i="16"/>
  <c r="AN15" i="16"/>
  <c r="AM15" i="16"/>
  <c r="X15" i="16"/>
  <c r="I15" i="16"/>
  <c r="BH14" i="16"/>
  <c r="BI14" i="16" s="1"/>
  <c r="BE14" i="16"/>
  <c r="AX14" i="16"/>
  <c r="AW14" i="16"/>
  <c r="AV14" i="16"/>
  <c r="AU14" i="16"/>
  <c r="AT14" i="16"/>
  <c r="AS14" i="16"/>
  <c r="AR14" i="16"/>
  <c r="AQ14" i="16"/>
  <c r="AP14" i="16"/>
  <c r="AO14" i="16"/>
  <c r="AN14" i="16"/>
  <c r="AM14" i="16"/>
  <c r="X14" i="16"/>
  <c r="I14" i="16"/>
  <c r="BH13" i="16"/>
  <c r="BI13" i="16" s="1"/>
  <c r="BE13" i="16"/>
  <c r="AX13" i="16"/>
  <c r="AW13" i="16"/>
  <c r="AV13" i="16"/>
  <c r="AU13" i="16"/>
  <c r="AT13" i="16"/>
  <c r="AS13" i="16"/>
  <c r="AR13" i="16"/>
  <c r="AQ13" i="16"/>
  <c r="AP13" i="16"/>
  <c r="AO13" i="16"/>
  <c r="AN13" i="16"/>
  <c r="AM13" i="16"/>
  <c r="X13" i="16"/>
  <c r="I13" i="16"/>
  <c r="BI12" i="16"/>
  <c r="BH12" i="16"/>
  <c r="BE12" i="16"/>
  <c r="AX12" i="16"/>
  <c r="AW12" i="16"/>
  <c r="AV12" i="16"/>
  <c r="AU12" i="16"/>
  <c r="AT12" i="16"/>
  <c r="AS12" i="16"/>
  <c r="AR12" i="16"/>
  <c r="AQ12" i="16"/>
  <c r="AP12" i="16"/>
  <c r="AO12" i="16"/>
  <c r="AN12" i="16"/>
  <c r="AM12" i="16"/>
  <c r="X12" i="16"/>
  <c r="I12" i="16"/>
  <c r="BH11" i="16"/>
  <c r="BE11" i="16"/>
  <c r="AX11" i="16"/>
  <c r="AW11" i="16"/>
  <c r="AV11" i="16"/>
  <c r="AU11" i="16"/>
  <c r="AT11" i="16"/>
  <c r="AS11" i="16"/>
  <c r="AR11" i="16"/>
  <c r="AQ11" i="16"/>
  <c r="AP11" i="16"/>
  <c r="AO11" i="16"/>
  <c r="AN11" i="16"/>
  <c r="AM11" i="16"/>
  <c r="X11" i="16"/>
  <c r="I11" i="16"/>
  <c r="BH10" i="16"/>
  <c r="BE10" i="16"/>
  <c r="AX10" i="16"/>
  <c r="AW10" i="16"/>
  <c r="AV10" i="16"/>
  <c r="AU10" i="16"/>
  <c r="AT10" i="16"/>
  <c r="AS10" i="16"/>
  <c r="AR10" i="16"/>
  <c r="AQ10" i="16"/>
  <c r="AP10" i="16"/>
  <c r="AO10" i="16"/>
  <c r="AN10" i="16"/>
  <c r="AM10" i="16"/>
  <c r="X10" i="16"/>
  <c r="I10" i="16"/>
  <c r="BH9" i="16"/>
  <c r="BI9" i="16" s="1"/>
  <c r="AX9" i="16"/>
  <c r="AW9" i="16"/>
  <c r="AV9" i="16"/>
  <c r="AU9" i="16"/>
  <c r="AT9" i="16"/>
  <c r="AS9" i="16"/>
  <c r="AR9" i="16"/>
  <c r="AQ9" i="16"/>
  <c r="AP9" i="16"/>
  <c r="AO9" i="16"/>
  <c r="AN9" i="16"/>
  <c r="AM9" i="16"/>
  <c r="X9" i="16"/>
  <c r="I9" i="16"/>
  <c r="AX8" i="16"/>
  <c r="AW8" i="16"/>
  <c r="AV8" i="16"/>
  <c r="AU8" i="16"/>
  <c r="AT8" i="16"/>
  <c r="AS8" i="16"/>
  <c r="AR8" i="16"/>
  <c r="AQ8" i="16"/>
  <c r="AP8" i="16"/>
  <c r="AO8" i="16"/>
  <c r="AN8" i="16"/>
  <c r="B8" i="16"/>
  <c r="BB6" i="16"/>
  <c r="F8" i="16" s="1"/>
  <c r="K60" i="16" s="1"/>
  <c r="AY6" i="16"/>
  <c r="BF5" i="16"/>
  <c r="BE5" i="16"/>
  <c r="BD5" i="16"/>
  <c r="BC6" i="16" s="1"/>
  <c r="BC5" i="16"/>
  <c r="BB5" i="16"/>
  <c r="BA5" i="16"/>
  <c r="E104" i="14"/>
  <c r="B104" i="14"/>
  <c r="J92" i="14"/>
  <c r="E88" i="14"/>
  <c r="B88" i="14"/>
  <c r="E72" i="14"/>
  <c r="B72" i="14"/>
  <c r="J60" i="14"/>
  <c r="X46" i="14"/>
  <c r="AM46" i="14" s="1"/>
  <c r="M46" i="14"/>
  <c r="Z45" i="14"/>
  <c r="AB40" i="14"/>
  <c r="Z40" i="14"/>
  <c r="I40" i="14"/>
  <c r="AM38" i="14"/>
  <c r="X36" i="14"/>
  <c r="X33" i="14"/>
  <c r="BH32" i="14"/>
  <c r="BI32" i="14" s="1"/>
  <c r="BE32" i="14"/>
  <c r="X32" i="14"/>
  <c r="I32" i="14"/>
  <c r="BH31" i="14"/>
  <c r="BE31" i="14"/>
  <c r="BH30" i="14"/>
  <c r="BI30" i="14" s="1"/>
  <c r="M30" i="14"/>
  <c r="J30" i="14"/>
  <c r="N36" i="14" s="1"/>
  <c r="BI29" i="14"/>
  <c r="BH29" i="14"/>
  <c r="BE29" i="14"/>
  <c r="M29" i="14"/>
  <c r="J29" i="14"/>
  <c r="BH28" i="14"/>
  <c r="BE28" i="14"/>
  <c r="M28" i="14"/>
  <c r="J28" i="14"/>
  <c r="BH27" i="14"/>
  <c r="BI27" i="14" s="1"/>
  <c r="X27" i="14"/>
  <c r="I27" i="14"/>
  <c r="BH26" i="14"/>
  <c r="BI26" i="14" s="1"/>
  <c r="BE26" i="14"/>
  <c r="AB26" i="14"/>
  <c r="BI25" i="14"/>
  <c r="BH25" i="14"/>
  <c r="BE25" i="14"/>
  <c r="BH24" i="14"/>
  <c r="BI24" i="14" s="1"/>
  <c r="I24" i="14"/>
  <c r="BH23" i="14"/>
  <c r="BI23" i="14" s="1"/>
  <c r="BE23" i="14"/>
  <c r="AB23" i="14"/>
  <c r="X23" i="14"/>
  <c r="BH22" i="14"/>
  <c r="BI22" i="14" s="1"/>
  <c r="BE22" i="14"/>
  <c r="I22" i="14"/>
  <c r="B22" i="14"/>
  <c r="BH21" i="14"/>
  <c r="BI21" i="14" s="1"/>
  <c r="BI20" i="14"/>
  <c r="BH20" i="14"/>
  <c r="BE20" i="14"/>
  <c r="AI20" i="14"/>
  <c r="AH20" i="14"/>
  <c r="AG20" i="14"/>
  <c r="AF20" i="14"/>
  <c r="AE20" i="14"/>
  <c r="AD20" i="14"/>
  <c r="AC20" i="14"/>
  <c r="AB20" i="14"/>
  <c r="AA20" i="14"/>
  <c r="Z20" i="14"/>
  <c r="Y20" i="14"/>
  <c r="T20" i="14"/>
  <c r="S20" i="14"/>
  <c r="R20" i="14"/>
  <c r="Q20" i="14"/>
  <c r="P20" i="14"/>
  <c r="O20" i="14"/>
  <c r="N20" i="14"/>
  <c r="M20" i="14"/>
  <c r="L20" i="14"/>
  <c r="K20" i="14"/>
  <c r="U16" i="14" s="1"/>
  <c r="V16" i="14" s="1"/>
  <c r="J20" i="14"/>
  <c r="BH19" i="14"/>
  <c r="BI19" i="14" s="1"/>
  <c r="BE19" i="14"/>
  <c r="AX19" i="14"/>
  <c r="AW19" i="14"/>
  <c r="AV19" i="14"/>
  <c r="AU19" i="14"/>
  <c r="AT19" i="14"/>
  <c r="AS19" i="14"/>
  <c r="AR19" i="14"/>
  <c r="AQ19" i="14"/>
  <c r="AP19" i="14"/>
  <c r="AO19" i="14"/>
  <c r="AN19" i="14"/>
  <c r="AM19" i="14"/>
  <c r="E19" i="14"/>
  <c r="X19" i="14" s="1"/>
  <c r="BH18" i="14"/>
  <c r="BI18" i="14" s="1"/>
  <c r="BE18" i="14"/>
  <c r="AX18" i="14"/>
  <c r="AW18" i="14"/>
  <c r="AV18" i="14"/>
  <c r="AU18" i="14"/>
  <c r="AT18" i="14"/>
  <c r="AS18" i="14"/>
  <c r="AR18" i="14"/>
  <c r="AQ18" i="14"/>
  <c r="AP18" i="14"/>
  <c r="AO18" i="14"/>
  <c r="AN18" i="14"/>
  <c r="AM18" i="14"/>
  <c r="X18" i="14"/>
  <c r="I18" i="14"/>
  <c r="BI17" i="14"/>
  <c r="BH17" i="14"/>
  <c r="BE17" i="14"/>
  <c r="AX17" i="14"/>
  <c r="AW17" i="14"/>
  <c r="AV17" i="14"/>
  <c r="AU17" i="14"/>
  <c r="AT17" i="14"/>
  <c r="AS17" i="14"/>
  <c r="AR17" i="14"/>
  <c r="AQ17" i="14"/>
  <c r="AP17" i="14"/>
  <c r="AO17" i="14"/>
  <c r="AN17" i="14"/>
  <c r="AM17" i="14"/>
  <c r="X17" i="14"/>
  <c r="I17" i="14"/>
  <c r="BH16" i="14"/>
  <c r="BI16" i="14" s="1"/>
  <c r="BE16" i="14"/>
  <c r="AX16" i="14"/>
  <c r="AW16" i="14"/>
  <c r="AV16" i="14"/>
  <c r="AU16" i="14"/>
  <c r="AT16" i="14"/>
  <c r="AS16" i="14"/>
  <c r="AR16" i="14"/>
  <c r="AQ16" i="14"/>
  <c r="AP16" i="14"/>
  <c r="AO16" i="14"/>
  <c r="AN16" i="14"/>
  <c r="AM16" i="14"/>
  <c r="X16" i="14"/>
  <c r="I16" i="14"/>
  <c r="BI15" i="14"/>
  <c r="BH15" i="14"/>
  <c r="AX15" i="14"/>
  <c r="AW15" i="14"/>
  <c r="AV15" i="14"/>
  <c r="AU15" i="14"/>
  <c r="AT15" i="14"/>
  <c r="AS15" i="14"/>
  <c r="AR15" i="14"/>
  <c r="AQ15" i="14"/>
  <c r="AP15" i="14"/>
  <c r="AO15" i="14"/>
  <c r="AN15" i="14"/>
  <c r="AM15" i="14"/>
  <c r="X15" i="14"/>
  <c r="I15" i="14"/>
  <c r="BH14" i="14"/>
  <c r="BI14" i="14" s="1"/>
  <c r="BE14" i="14"/>
  <c r="AX14" i="14"/>
  <c r="AW14" i="14"/>
  <c r="AV14" i="14"/>
  <c r="AU14" i="14"/>
  <c r="AT14" i="14"/>
  <c r="AS14" i="14"/>
  <c r="AR14" i="14"/>
  <c r="AQ14" i="14"/>
  <c r="AP14" i="14"/>
  <c r="AO14" i="14"/>
  <c r="AN14" i="14"/>
  <c r="AM14" i="14"/>
  <c r="X14" i="14"/>
  <c r="I14" i="14"/>
  <c r="BH13" i="14"/>
  <c r="BI13" i="14" s="1"/>
  <c r="BE13" i="14"/>
  <c r="AX13" i="14"/>
  <c r="AW13" i="14"/>
  <c r="AV13" i="14"/>
  <c r="AU13" i="14"/>
  <c r="AT13" i="14"/>
  <c r="AS13" i="14"/>
  <c r="AR13" i="14"/>
  <c r="AQ13" i="14"/>
  <c r="AP13" i="14"/>
  <c r="AO13" i="14"/>
  <c r="AN13" i="14"/>
  <c r="AM13" i="14"/>
  <c r="X13" i="14"/>
  <c r="I13" i="14"/>
  <c r="BH12" i="14"/>
  <c r="BI12" i="14" s="1"/>
  <c r="BE12" i="14"/>
  <c r="AX12" i="14"/>
  <c r="AW12" i="14"/>
  <c r="AV12" i="14"/>
  <c r="AU12" i="14"/>
  <c r="AT12" i="14"/>
  <c r="AS12" i="14"/>
  <c r="AR12" i="14"/>
  <c r="AQ12" i="14"/>
  <c r="AP12" i="14"/>
  <c r="AO12" i="14"/>
  <c r="AN12" i="14"/>
  <c r="AM12" i="14"/>
  <c r="X12" i="14"/>
  <c r="I12" i="14"/>
  <c r="BH11" i="14"/>
  <c r="BE11" i="14"/>
  <c r="BI11" i="14" s="1"/>
  <c r="AX11" i="14"/>
  <c r="AW11" i="14"/>
  <c r="AV11" i="14"/>
  <c r="AU11" i="14"/>
  <c r="AT11" i="14"/>
  <c r="AS11" i="14"/>
  <c r="AR11" i="14"/>
  <c r="AQ11" i="14"/>
  <c r="AP11" i="14"/>
  <c r="AO11" i="14"/>
  <c r="AN11" i="14"/>
  <c r="AM11" i="14"/>
  <c r="X11" i="14"/>
  <c r="I11" i="14"/>
  <c r="BH10" i="14"/>
  <c r="BI10" i="14" s="1"/>
  <c r="BE10" i="14"/>
  <c r="AX10" i="14"/>
  <c r="AW10" i="14"/>
  <c r="AV10" i="14"/>
  <c r="AU10" i="14"/>
  <c r="AT10" i="14"/>
  <c r="AS10" i="14"/>
  <c r="AR10" i="14"/>
  <c r="AQ10" i="14"/>
  <c r="AP10" i="14"/>
  <c r="AO10" i="14"/>
  <c r="AN10" i="14"/>
  <c r="AM10" i="14"/>
  <c r="X10" i="14"/>
  <c r="I10" i="14"/>
  <c r="BH9" i="14"/>
  <c r="BI9" i="14" s="1"/>
  <c r="AX9" i="14"/>
  <c r="AW9" i="14"/>
  <c r="AV9" i="14"/>
  <c r="AU9" i="14"/>
  <c r="AT9" i="14"/>
  <c r="AS9" i="14"/>
  <c r="AR9" i="14"/>
  <c r="AQ9" i="14"/>
  <c r="AP9" i="14"/>
  <c r="AO9" i="14"/>
  <c r="AN9" i="14"/>
  <c r="AM9" i="14"/>
  <c r="X9" i="14"/>
  <c r="I9" i="14"/>
  <c r="AX8" i="14"/>
  <c r="AW8" i="14"/>
  <c r="AV8" i="14"/>
  <c r="AU8" i="14"/>
  <c r="AT8" i="14"/>
  <c r="AQ20" i="14" s="1"/>
  <c r="AS8" i="14"/>
  <c r="AR8" i="14"/>
  <c r="AQ8" i="14"/>
  <c r="AP8" i="14"/>
  <c r="AO8" i="14"/>
  <c r="AN8" i="14"/>
  <c r="F8" i="14"/>
  <c r="K60" i="14" s="1"/>
  <c r="B8" i="14"/>
  <c r="BB6" i="14"/>
  <c r="AY6" i="14"/>
  <c r="BF5" i="14"/>
  <c r="BE5" i="14"/>
  <c r="BD5" i="14"/>
  <c r="BD6" i="14" s="1"/>
  <c r="BC5" i="14"/>
  <c r="BB5" i="14"/>
  <c r="BA5" i="14"/>
  <c r="BA6" i="14" s="1"/>
  <c r="U12" i="14" l="1"/>
  <c r="V12" i="14" s="1"/>
  <c r="BI28" i="14"/>
  <c r="BI26" i="16"/>
  <c r="M99" i="14"/>
  <c r="AN20" i="14"/>
  <c r="BA6" i="16"/>
  <c r="X49" i="16" s="1"/>
  <c r="BI11" i="16"/>
  <c r="BI16" i="16"/>
  <c r="BI17" i="16"/>
  <c r="BI19" i="16"/>
  <c r="L66" i="16"/>
  <c r="N66" i="16" s="1"/>
  <c r="U12" i="16"/>
  <c r="V12" i="16" s="1"/>
  <c r="AC23" i="16"/>
  <c r="AU20" i="14"/>
  <c r="BI23" i="16"/>
  <c r="M36" i="16"/>
  <c r="E82" i="16"/>
  <c r="AJ14" i="14"/>
  <c r="AK14" i="14" s="1"/>
  <c r="BD6" i="16"/>
  <c r="M83" i="16"/>
  <c r="N22" i="14"/>
  <c r="BI31" i="14"/>
  <c r="BI20" i="16"/>
  <c r="BI25" i="16"/>
  <c r="AJ15" i="14"/>
  <c r="AK15" i="14" s="1"/>
  <c r="N41" i="16"/>
  <c r="L95" i="16"/>
  <c r="F95" i="16" s="1"/>
  <c r="E63" i="16"/>
  <c r="E66" i="16"/>
  <c r="F66" i="16"/>
  <c r="E98" i="16"/>
  <c r="AJ15" i="16"/>
  <c r="AK15" i="16" s="1"/>
  <c r="AJ18" i="16"/>
  <c r="AK18" i="16" s="1"/>
  <c r="AJ9" i="16"/>
  <c r="AK9" i="16" s="1"/>
  <c r="AJ10" i="16"/>
  <c r="AK10" i="16" s="1"/>
  <c r="U9" i="16"/>
  <c r="U14" i="16"/>
  <c r="V14" i="16" s="1"/>
  <c r="U13" i="16"/>
  <c r="V13" i="16" s="1"/>
  <c r="U10" i="16"/>
  <c r="V10" i="16" s="1"/>
  <c r="U15" i="16"/>
  <c r="V15" i="16" s="1"/>
  <c r="U16" i="16"/>
  <c r="V16" i="16" s="1"/>
  <c r="U11" i="16"/>
  <c r="V11" i="16" s="1"/>
  <c r="U17" i="16"/>
  <c r="V17" i="16" s="1"/>
  <c r="M72" i="16"/>
  <c r="M64" i="16"/>
  <c r="M80" i="16"/>
  <c r="M96" i="16"/>
  <c r="N33" i="16"/>
  <c r="N35" i="16"/>
  <c r="AK49" i="16"/>
  <c r="X48" i="16"/>
  <c r="B101" i="16"/>
  <c r="AK48" i="16"/>
  <c r="AZ47" i="16"/>
  <c r="M47" i="16"/>
  <c r="AC36" i="16" s="1"/>
  <c r="AC37" i="16" s="1"/>
  <c r="B69" i="16"/>
  <c r="Y60" i="16" s="1"/>
  <c r="X47" i="16"/>
  <c r="X41" i="16"/>
  <c r="AM49" i="16"/>
  <c r="V47" i="16"/>
  <c r="X51" i="16"/>
  <c r="AM51" i="16"/>
  <c r="AZ48" i="16"/>
  <c r="AM47" i="16"/>
  <c r="AM37" i="16"/>
  <c r="X43" i="16"/>
  <c r="B85" i="16"/>
  <c r="AZ49" i="16"/>
  <c r="AM48" i="16"/>
  <c r="AM36" i="16"/>
  <c r="AP20" i="16"/>
  <c r="AO20" i="16"/>
  <c r="AX20" i="16"/>
  <c r="AW20" i="16"/>
  <c r="AS20" i="16"/>
  <c r="AU20" i="16"/>
  <c r="BI10" i="16"/>
  <c r="AT20" i="16"/>
  <c r="AN20" i="16"/>
  <c r="AM6" i="16"/>
  <c r="I6" i="16"/>
  <c r="X26" i="16"/>
  <c r="X6" i="16"/>
  <c r="AV20" i="16"/>
  <c r="AQ20" i="16"/>
  <c r="N34" i="16"/>
  <c r="N43" i="16"/>
  <c r="K92" i="16"/>
  <c r="M95" i="16"/>
  <c r="M79" i="16"/>
  <c r="M104" i="16"/>
  <c r="AJ14" i="16"/>
  <c r="AK14" i="16" s="1"/>
  <c r="AJ19" i="16"/>
  <c r="N27" i="16"/>
  <c r="L36" i="16" s="1"/>
  <c r="N36" i="16"/>
  <c r="M66" i="16"/>
  <c r="M71" i="16"/>
  <c r="L82" i="16"/>
  <c r="M88" i="16"/>
  <c r="M98" i="16"/>
  <c r="M103" i="16"/>
  <c r="L98" i="16"/>
  <c r="AJ13" i="16"/>
  <c r="AK13" i="16" s="1"/>
  <c r="AM33" i="16"/>
  <c r="B60" i="16"/>
  <c r="M76" i="16"/>
  <c r="M82" i="16"/>
  <c r="M87" i="16"/>
  <c r="B94" i="16"/>
  <c r="AR20" i="16"/>
  <c r="AJ12" i="16"/>
  <c r="AK12" i="16" s="1"/>
  <c r="AM34" i="16"/>
  <c r="N42" i="16"/>
  <c r="X44" i="16"/>
  <c r="L33" i="16" s="1"/>
  <c r="L63" i="16"/>
  <c r="M65" i="16"/>
  <c r="M70" i="16"/>
  <c r="M73" i="16"/>
  <c r="B78" i="16"/>
  <c r="E95" i="16"/>
  <c r="M97" i="16"/>
  <c r="M102" i="16"/>
  <c r="M105" i="16"/>
  <c r="AJ11" i="16"/>
  <c r="AK11" i="16" s="1"/>
  <c r="M33" i="16"/>
  <c r="AM35" i="16"/>
  <c r="N38" i="16"/>
  <c r="M41" i="16"/>
  <c r="B62" i="16"/>
  <c r="X60" i="16" s="1"/>
  <c r="M63" i="16"/>
  <c r="M67" i="16"/>
  <c r="M81" i="16"/>
  <c r="M86" i="16"/>
  <c r="M89" i="16"/>
  <c r="AV20" i="14"/>
  <c r="AJ13" i="14"/>
  <c r="AK13" i="14" s="1"/>
  <c r="AJ19" i="14"/>
  <c r="AK19" i="14" s="1"/>
  <c r="AO20" i="14"/>
  <c r="AW20" i="14"/>
  <c r="AJ12" i="14"/>
  <c r="AK12" i="14" s="1"/>
  <c r="AP20" i="14"/>
  <c r="AX20" i="14"/>
  <c r="AJ18" i="14"/>
  <c r="AK18" i="14" s="1"/>
  <c r="AR20" i="14"/>
  <c r="AJ9" i="14"/>
  <c r="AJ20" i="14" s="1"/>
  <c r="AJ16" i="14"/>
  <c r="AK16" i="14" s="1"/>
  <c r="U13" i="14"/>
  <c r="V13" i="14" s="1"/>
  <c r="U10" i="14"/>
  <c r="V10" i="14" s="1"/>
  <c r="U9" i="14"/>
  <c r="V9" i="14" s="1"/>
  <c r="U11" i="14"/>
  <c r="V11" i="14" s="1"/>
  <c r="U14" i="14"/>
  <c r="V14" i="14" s="1"/>
  <c r="U18" i="14"/>
  <c r="V18" i="14" s="1"/>
  <c r="U17" i="14"/>
  <c r="V17" i="14" s="1"/>
  <c r="U15" i="14"/>
  <c r="V15" i="14" s="1"/>
  <c r="AK49" i="14"/>
  <c r="X48" i="14"/>
  <c r="AZ47" i="14"/>
  <c r="M47" i="14"/>
  <c r="AC36" i="14" s="1"/>
  <c r="AC37" i="14" s="1"/>
  <c r="X49" i="14"/>
  <c r="AM51" i="14"/>
  <c r="AZ48" i="14"/>
  <c r="AM47" i="14"/>
  <c r="AM37" i="14"/>
  <c r="X51" i="14"/>
  <c r="AK47" i="14"/>
  <c r="X43" i="14"/>
  <c r="B85" i="14"/>
  <c r="AZ49" i="14"/>
  <c r="AM48" i="14"/>
  <c r="B101" i="14"/>
  <c r="B69" i="14"/>
  <c r="Y60" i="14" s="1"/>
  <c r="AK48" i="14"/>
  <c r="X47" i="14"/>
  <c r="X41" i="14"/>
  <c r="AM49" i="14"/>
  <c r="V47" i="14"/>
  <c r="AM36" i="14"/>
  <c r="BC6" i="14"/>
  <c r="AJ11" i="14"/>
  <c r="AK11" i="14" s="1"/>
  <c r="AJ10" i="14"/>
  <c r="AK10" i="14" s="1"/>
  <c r="AJ17" i="14"/>
  <c r="AK17" i="14" s="1"/>
  <c r="AC23" i="14"/>
  <c r="N33" i="14"/>
  <c r="N41" i="14"/>
  <c r="M64" i="14"/>
  <c r="E66" i="14"/>
  <c r="M83" i="14"/>
  <c r="M96" i="14"/>
  <c r="E98" i="14"/>
  <c r="M80" i="14"/>
  <c r="E82" i="14"/>
  <c r="L95" i="14"/>
  <c r="N34" i="14"/>
  <c r="N43" i="14"/>
  <c r="K92" i="14"/>
  <c r="M95" i="14"/>
  <c r="AK9" i="14"/>
  <c r="N35" i="14"/>
  <c r="M36" i="14"/>
  <c r="E63" i="14"/>
  <c r="L66" i="14"/>
  <c r="M72" i="14"/>
  <c r="M79" i="14"/>
  <c r="L98" i="14"/>
  <c r="M104" i="14"/>
  <c r="AS20" i="14"/>
  <c r="N27" i="14"/>
  <c r="L36" i="14" s="1"/>
  <c r="M66" i="14"/>
  <c r="M71" i="14"/>
  <c r="L82" i="14"/>
  <c r="M88" i="14"/>
  <c r="M98" i="14"/>
  <c r="M103" i="14"/>
  <c r="AT20" i="14"/>
  <c r="AY13" i="14" s="1"/>
  <c r="AZ13" i="14" s="1"/>
  <c r="AM33" i="14"/>
  <c r="B60" i="14"/>
  <c r="M76" i="14"/>
  <c r="M82" i="14"/>
  <c r="M87" i="14"/>
  <c r="B94" i="14"/>
  <c r="AM34" i="14"/>
  <c r="N42" i="14"/>
  <c r="X44" i="14"/>
  <c r="L42" i="14" s="1"/>
  <c r="L63" i="14"/>
  <c r="M65" i="14"/>
  <c r="M70" i="14"/>
  <c r="M73" i="14"/>
  <c r="B78" i="14"/>
  <c r="E95" i="14"/>
  <c r="M97" i="14"/>
  <c r="M102" i="14"/>
  <c r="M105" i="14"/>
  <c r="M33" i="14"/>
  <c r="AM35" i="14"/>
  <c r="N38" i="14"/>
  <c r="M41" i="14"/>
  <c r="B62" i="14"/>
  <c r="X60" i="14" s="1"/>
  <c r="M63" i="14"/>
  <c r="M67" i="14"/>
  <c r="M81" i="14"/>
  <c r="M86" i="14"/>
  <c r="M89" i="14"/>
  <c r="AR8" i="7"/>
  <c r="AS8" i="7"/>
  <c r="AT8" i="7"/>
  <c r="AU8" i="7"/>
  <c r="AV8" i="7"/>
  <c r="AW8" i="7"/>
  <c r="AX8" i="7"/>
  <c r="AR9" i="7"/>
  <c r="AS9" i="7"/>
  <c r="AT9" i="7"/>
  <c r="AU9" i="7"/>
  <c r="AV9" i="7"/>
  <c r="AW9" i="7"/>
  <c r="AX9" i="7"/>
  <c r="AR10" i="7"/>
  <c r="AS10" i="7"/>
  <c r="AT10" i="7"/>
  <c r="AU10" i="7"/>
  <c r="AV10" i="7"/>
  <c r="AW10" i="7"/>
  <c r="AX10" i="7"/>
  <c r="AR11" i="7"/>
  <c r="AS11" i="7"/>
  <c r="AT11" i="7"/>
  <c r="AU11" i="7"/>
  <c r="AV11" i="7"/>
  <c r="AW11" i="7"/>
  <c r="AX11" i="7"/>
  <c r="AR12" i="7"/>
  <c r="AS12" i="7"/>
  <c r="AT12" i="7"/>
  <c r="AU12" i="7"/>
  <c r="AV12" i="7"/>
  <c r="AW12" i="7"/>
  <c r="AX12" i="7"/>
  <c r="AR13" i="7"/>
  <c r="AS13" i="7"/>
  <c r="AT13" i="7"/>
  <c r="AU13" i="7"/>
  <c r="AV13" i="7"/>
  <c r="AW13" i="7"/>
  <c r="AX13" i="7"/>
  <c r="AR14" i="7"/>
  <c r="AS14" i="7"/>
  <c r="AT14" i="7"/>
  <c r="AU14" i="7"/>
  <c r="AV14" i="7"/>
  <c r="AW14" i="7"/>
  <c r="AX14" i="7"/>
  <c r="AR15" i="7"/>
  <c r="AS15" i="7"/>
  <c r="AT15" i="7"/>
  <c r="AU15" i="7"/>
  <c r="AV15" i="7"/>
  <c r="AW15" i="7"/>
  <c r="AX15" i="7"/>
  <c r="AR16" i="7"/>
  <c r="AS16" i="7"/>
  <c r="AT16" i="7"/>
  <c r="AU16" i="7"/>
  <c r="AV16" i="7"/>
  <c r="AW16" i="7"/>
  <c r="AX16" i="7"/>
  <c r="AR17" i="7"/>
  <c r="AS17" i="7"/>
  <c r="AT17" i="7"/>
  <c r="AU17" i="7"/>
  <c r="AV17" i="7"/>
  <c r="AW17" i="7"/>
  <c r="AX17" i="7"/>
  <c r="AR18" i="7"/>
  <c r="AS18" i="7"/>
  <c r="AT18" i="7"/>
  <c r="AU18" i="7"/>
  <c r="AV18" i="7"/>
  <c r="AW18" i="7"/>
  <c r="AX18" i="7"/>
  <c r="AR19" i="7"/>
  <c r="AS19" i="7"/>
  <c r="AT19" i="7"/>
  <c r="AU19" i="7"/>
  <c r="AV19" i="7"/>
  <c r="AW19" i="7"/>
  <c r="AX19" i="7"/>
  <c r="AY16" i="16" l="1"/>
  <c r="AZ16" i="16" s="1"/>
  <c r="Z42" i="14"/>
  <c r="Z43" i="14" s="1"/>
  <c r="AY12" i="14"/>
  <c r="AZ12" i="14" s="1"/>
  <c r="AY19" i="14"/>
  <c r="AZ19" i="14" s="1"/>
  <c r="AK47" i="16"/>
  <c r="N95" i="16"/>
  <c r="AJ20" i="16"/>
  <c r="U20" i="16"/>
  <c r="V9" i="16"/>
  <c r="Z42" i="16" s="1"/>
  <c r="Z43" i="16" s="1"/>
  <c r="N63" i="16"/>
  <c r="F63" i="16"/>
  <c r="L41" i="16"/>
  <c r="M42" i="16"/>
  <c r="M43" i="16" s="1"/>
  <c r="AY17" i="16"/>
  <c r="AZ17" i="16" s="1"/>
  <c r="AY10" i="16"/>
  <c r="AZ10" i="16" s="1"/>
  <c r="AY14" i="16"/>
  <c r="AZ14" i="16" s="1"/>
  <c r="AY15" i="16"/>
  <c r="AZ15" i="16" s="1"/>
  <c r="AY18" i="16"/>
  <c r="AZ18" i="16" s="1"/>
  <c r="AY11" i="16"/>
  <c r="AZ11" i="16" s="1"/>
  <c r="AY13" i="16"/>
  <c r="AZ13" i="16" s="1"/>
  <c r="AY12" i="16"/>
  <c r="AZ12" i="16" s="1"/>
  <c r="AY19" i="16"/>
  <c r="AZ19" i="16" s="1"/>
  <c r="AY9" i="16"/>
  <c r="L42" i="16"/>
  <c r="B58" i="16"/>
  <c r="W58" i="16"/>
  <c r="N98" i="16"/>
  <c r="F98" i="16"/>
  <c r="N82" i="16"/>
  <c r="F82" i="16"/>
  <c r="B76" i="16"/>
  <c r="K76" i="16"/>
  <c r="M60" i="16"/>
  <c r="M92" i="16"/>
  <c r="AK19" i="16"/>
  <c r="AB42" i="16" s="1"/>
  <c r="AC24" i="16"/>
  <c r="K82" i="16"/>
  <c r="AC33" i="16"/>
  <c r="AC35" i="16"/>
  <c r="N24" i="16"/>
  <c r="AC34" i="16"/>
  <c r="K98" i="16"/>
  <c r="K66" i="16"/>
  <c r="AY9" i="14"/>
  <c r="AZ9" i="14" s="1"/>
  <c r="AY10" i="14"/>
  <c r="AZ10" i="14" s="1"/>
  <c r="AY17" i="14"/>
  <c r="AZ17" i="14" s="1"/>
  <c r="AY14" i="14"/>
  <c r="AZ14" i="14" s="1"/>
  <c r="AB42" i="14"/>
  <c r="AB36" i="14" s="1"/>
  <c r="AB41" i="14" s="1"/>
  <c r="AY15" i="14"/>
  <c r="AZ15" i="14" s="1"/>
  <c r="AY16" i="14"/>
  <c r="AZ16" i="14" s="1"/>
  <c r="AY11" i="14"/>
  <c r="AZ11" i="14" s="1"/>
  <c r="AY18" i="14"/>
  <c r="AZ18" i="14" s="1"/>
  <c r="U20" i="14"/>
  <c r="L33" i="14"/>
  <c r="F63" i="14"/>
  <c r="N63" i="14"/>
  <c r="U47" i="14"/>
  <c r="N66" i="14"/>
  <c r="F66" i="14"/>
  <c r="M42" i="14"/>
  <c r="M43" i="14"/>
  <c r="N82" i="14"/>
  <c r="F82" i="14"/>
  <c r="F95" i="14"/>
  <c r="N95" i="14"/>
  <c r="N98" i="14"/>
  <c r="F98" i="14"/>
  <c r="X26" i="14"/>
  <c r="I6" i="14"/>
  <c r="AM6" i="14"/>
  <c r="X6" i="14"/>
  <c r="M92" i="14"/>
  <c r="K76" i="14"/>
  <c r="M60" i="14"/>
  <c r="B76" i="14"/>
  <c r="AC24" i="14"/>
  <c r="AC35" i="14"/>
  <c r="N24" i="14"/>
  <c r="AC34" i="14"/>
  <c r="K82" i="14"/>
  <c r="AC33" i="14"/>
  <c r="K98" i="14"/>
  <c r="K66" i="14"/>
  <c r="L41" i="14"/>
  <c r="W58" i="14"/>
  <c r="B58" i="14"/>
  <c r="K84" i="13"/>
  <c r="J84" i="13"/>
  <c r="I84" i="13"/>
  <c r="H84" i="13"/>
  <c r="G84" i="13"/>
  <c r="F84" i="13"/>
  <c r="K81" i="13"/>
  <c r="J81" i="13"/>
  <c r="I81" i="13"/>
  <c r="H81" i="13"/>
  <c r="D81" i="13"/>
  <c r="G81" i="13" s="1"/>
  <c r="C81" i="13"/>
  <c r="B81" i="13"/>
  <c r="K80" i="13"/>
  <c r="J80" i="13"/>
  <c r="I80" i="13"/>
  <c r="H80" i="13"/>
  <c r="D80" i="13"/>
  <c r="F80" i="13" s="1"/>
  <c r="C80" i="13"/>
  <c r="B80" i="13"/>
  <c r="K79" i="13"/>
  <c r="J79" i="13"/>
  <c r="I79" i="13"/>
  <c r="H79" i="13"/>
  <c r="D79" i="13"/>
  <c r="G79" i="13" s="1"/>
  <c r="C79" i="13"/>
  <c r="B79" i="13"/>
  <c r="K78" i="13"/>
  <c r="J78" i="13"/>
  <c r="I78" i="13"/>
  <c r="H78" i="13"/>
  <c r="D78" i="13"/>
  <c r="G78" i="13" s="1"/>
  <c r="C78" i="13"/>
  <c r="B78" i="13"/>
  <c r="K77" i="13"/>
  <c r="J77" i="13"/>
  <c r="I77" i="13"/>
  <c r="H77" i="13"/>
  <c r="D77" i="13"/>
  <c r="G77" i="13" s="1"/>
  <c r="C77" i="13"/>
  <c r="B77" i="13"/>
  <c r="K76" i="13"/>
  <c r="J76" i="13"/>
  <c r="I76" i="13"/>
  <c r="H76" i="13"/>
  <c r="D76" i="13"/>
  <c r="F76" i="13" s="1"/>
  <c r="C76" i="13"/>
  <c r="B76" i="13"/>
  <c r="K75" i="13"/>
  <c r="J75" i="13"/>
  <c r="I75" i="13"/>
  <c r="H75" i="13"/>
  <c r="D75" i="13"/>
  <c r="G75" i="13" s="1"/>
  <c r="C75" i="13"/>
  <c r="B75" i="13"/>
  <c r="K74" i="13"/>
  <c r="J74" i="13"/>
  <c r="I74" i="13"/>
  <c r="H74" i="13"/>
  <c r="D74" i="13"/>
  <c r="C74" i="13"/>
  <c r="B74" i="13"/>
  <c r="K73" i="13"/>
  <c r="J73" i="13"/>
  <c r="I73" i="13"/>
  <c r="H73" i="13"/>
  <c r="G73" i="13"/>
  <c r="F73" i="13"/>
  <c r="K71" i="13"/>
  <c r="J71" i="13"/>
  <c r="I71" i="13"/>
  <c r="H71" i="13"/>
  <c r="D71" i="13"/>
  <c r="G71" i="13" s="1"/>
  <c r="C71" i="13"/>
  <c r="B71" i="13"/>
  <c r="K70" i="13"/>
  <c r="J70" i="13"/>
  <c r="I70" i="13"/>
  <c r="H70" i="13"/>
  <c r="D70" i="13"/>
  <c r="G70" i="13" s="1"/>
  <c r="C70" i="13"/>
  <c r="B70" i="13"/>
  <c r="K69" i="13"/>
  <c r="J69" i="13"/>
  <c r="I69" i="13"/>
  <c r="H69" i="13"/>
  <c r="D69" i="13"/>
  <c r="G69" i="13" s="1"/>
  <c r="C69" i="13"/>
  <c r="B69" i="13"/>
  <c r="K68" i="13"/>
  <c r="J68" i="13"/>
  <c r="I68" i="13"/>
  <c r="H68" i="13"/>
  <c r="G68" i="13"/>
  <c r="D68" i="13"/>
  <c r="F68" i="13" s="1"/>
  <c r="C68" i="13"/>
  <c r="B68" i="13"/>
  <c r="K67" i="13"/>
  <c r="J67" i="13"/>
  <c r="I67" i="13"/>
  <c r="H67" i="13"/>
  <c r="D67" i="13"/>
  <c r="G67" i="13" s="1"/>
  <c r="C67" i="13"/>
  <c r="B67" i="13"/>
  <c r="K66" i="13"/>
  <c r="J66" i="13"/>
  <c r="I66" i="13"/>
  <c r="H66" i="13"/>
  <c r="D66" i="13"/>
  <c r="F66" i="13" s="1"/>
  <c r="C66" i="13"/>
  <c r="B66" i="13"/>
  <c r="K65" i="13"/>
  <c r="J65" i="13"/>
  <c r="I65" i="13"/>
  <c r="H65" i="13"/>
  <c r="D65" i="13"/>
  <c r="G65" i="13" s="1"/>
  <c r="C65" i="13"/>
  <c r="B65" i="13"/>
  <c r="K64" i="13"/>
  <c r="J64" i="13"/>
  <c r="I64" i="13"/>
  <c r="H64" i="13"/>
  <c r="D64" i="13"/>
  <c r="G64" i="13" s="1"/>
  <c r="C64" i="13"/>
  <c r="B64" i="13"/>
  <c r="K63" i="13"/>
  <c r="J63" i="13"/>
  <c r="I63" i="13"/>
  <c r="H63" i="13"/>
  <c r="G63" i="13"/>
  <c r="F63" i="13"/>
  <c r="K61" i="13"/>
  <c r="J61" i="13"/>
  <c r="I61" i="13"/>
  <c r="H61" i="13"/>
  <c r="G61" i="13"/>
  <c r="D61" i="13"/>
  <c r="F61" i="13" s="1"/>
  <c r="C61" i="13"/>
  <c r="B61" i="13"/>
  <c r="K60" i="13"/>
  <c r="J60" i="13"/>
  <c r="I60" i="13"/>
  <c r="H60" i="13"/>
  <c r="D60" i="13"/>
  <c r="G60" i="13" s="1"/>
  <c r="C60" i="13"/>
  <c r="B60" i="13"/>
  <c r="K59" i="13"/>
  <c r="J59" i="13"/>
  <c r="I59" i="13"/>
  <c r="H59" i="13"/>
  <c r="D59" i="13"/>
  <c r="G59" i="13" s="1"/>
  <c r="C59" i="13"/>
  <c r="B59" i="13"/>
  <c r="K58" i="13"/>
  <c r="J58" i="13"/>
  <c r="I58" i="13"/>
  <c r="H58" i="13"/>
  <c r="D58" i="13"/>
  <c r="G58" i="13" s="1"/>
  <c r="C58" i="13"/>
  <c r="B58" i="13"/>
  <c r="K57" i="13"/>
  <c r="J57" i="13"/>
  <c r="I57" i="13"/>
  <c r="H57" i="13"/>
  <c r="G57" i="13"/>
  <c r="D57" i="13"/>
  <c r="F57" i="13" s="1"/>
  <c r="C57" i="13"/>
  <c r="B57" i="13"/>
  <c r="K56" i="13"/>
  <c r="J56" i="13"/>
  <c r="I56" i="13"/>
  <c r="H56" i="13"/>
  <c r="D56" i="13"/>
  <c r="G56" i="13" s="1"/>
  <c r="C56" i="13"/>
  <c r="B56" i="13"/>
  <c r="K55" i="13"/>
  <c r="J55" i="13"/>
  <c r="I55" i="13"/>
  <c r="H55" i="13"/>
  <c r="D55" i="13"/>
  <c r="G55" i="13" s="1"/>
  <c r="C55" i="13"/>
  <c r="B55" i="13"/>
  <c r="K54" i="13"/>
  <c r="J54" i="13"/>
  <c r="I54" i="13"/>
  <c r="H54" i="13"/>
  <c r="D54" i="13"/>
  <c r="C54" i="13"/>
  <c r="B54" i="13"/>
  <c r="K53" i="13"/>
  <c r="J53" i="13"/>
  <c r="I53" i="13"/>
  <c r="H53" i="13"/>
  <c r="G53" i="13"/>
  <c r="F53" i="13"/>
  <c r="K43" i="13"/>
  <c r="J43" i="13"/>
  <c r="I43" i="13"/>
  <c r="H43" i="13"/>
  <c r="G43" i="13"/>
  <c r="F43" i="13"/>
  <c r="A40" i="13"/>
  <c r="K31" i="13"/>
  <c r="J31" i="13"/>
  <c r="I31" i="13"/>
  <c r="H31" i="13"/>
  <c r="K30" i="13"/>
  <c r="J30" i="13"/>
  <c r="I30" i="13"/>
  <c r="H30" i="13"/>
  <c r="G30" i="13"/>
  <c r="F30" i="13"/>
  <c r="M27" i="13"/>
  <c r="K19" i="13"/>
  <c r="J19" i="13"/>
  <c r="I19" i="13"/>
  <c r="H19" i="13"/>
  <c r="K18" i="13"/>
  <c r="J18" i="13"/>
  <c r="I18" i="13"/>
  <c r="H18" i="13"/>
  <c r="G18" i="13"/>
  <c r="F18" i="13"/>
  <c r="M17" i="13"/>
  <c r="I16" i="13"/>
  <c r="M8" i="13"/>
  <c r="K84" i="12"/>
  <c r="J84" i="12"/>
  <c r="I84" i="12"/>
  <c r="H84" i="12"/>
  <c r="G84" i="12"/>
  <c r="F84" i="12"/>
  <c r="K81" i="12"/>
  <c r="J81" i="12"/>
  <c r="I81" i="12"/>
  <c r="H81" i="12"/>
  <c r="D81" i="12"/>
  <c r="G81" i="12" s="1"/>
  <c r="C81" i="12"/>
  <c r="B81" i="12"/>
  <c r="K80" i="12"/>
  <c r="J80" i="12"/>
  <c r="I80" i="12"/>
  <c r="H80" i="12"/>
  <c r="D80" i="12"/>
  <c r="F80" i="12" s="1"/>
  <c r="C80" i="12"/>
  <c r="B80" i="12"/>
  <c r="K79" i="12"/>
  <c r="J79" i="12"/>
  <c r="I79" i="12"/>
  <c r="H79" i="12"/>
  <c r="D79" i="12"/>
  <c r="G79" i="12" s="1"/>
  <c r="C79" i="12"/>
  <c r="B79" i="12"/>
  <c r="K78" i="12"/>
  <c r="J78" i="12"/>
  <c r="I78" i="12"/>
  <c r="H78" i="12"/>
  <c r="F78" i="12"/>
  <c r="D78" i="12"/>
  <c r="G78" i="12" s="1"/>
  <c r="C78" i="12"/>
  <c r="B78" i="12"/>
  <c r="K77" i="12"/>
  <c r="J77" i="12"/>
  <c r="I77" i="12"/>
  <c r="H77" i="12"/>
  <c r="D77" i="12"/>
  <c r="G77" i="12" s="1"/>
  <c r="C77" i="12"/>
  <c r="B77" i="12"/>
  <c r="K76" i="12"/>
  <c r="J76" i="12"/>
  <c r="I76" i="12"/>
  <c r="H76" i="12"/>
  <c r="D76" i="12"/>
  <c r="G76" i="12" s="1"/>
  <c r="C76" i="12"/>
  <c r="B76" i="12"/>
  <c r="K75" i="12"/>
  <c r="J75" i="12"/>
  <c r="I75" i="12"/>
  <c r="H75" i="12"/>
  <c r="D75" i="12"/>
  <c r="G75" i="12" s="1"/>
  <c r="C75" i="12"/>
  <c r="B75" i="12"/>
  <c r="K74" i="12"/>
  <c r="J74" i="12"/>
  <c r="I74" i="12"/>
  <c r="H74" i="12"/>
  <c r="F74" i="12"/>
  <c r="D74" i="12"/>
  <c r="C74" i="12"/>
  <c r="B74" i="12"/>
  <c r="K73" i="12"/>
  <c r="J73" i="12"/>
  <c r="I73" i="12"/>
  <c r="H73" i="12"/>
  <c r="G73" i="12"/>
  <c r="F73" i="12"/>
  <c r="K71" i="12"/>
  <c r="J71" i="12"/>
  <c r="I71" i="12"/>
  <c r="H71" i="12"/>
  <c r="D71" i="12"/>
  <c r="G71" i="12" s="1"/>
  <c r="C71" i="12"/>
  <c r="B71" i="12"/>
  <c r="K70" i="12"/>
  <c r="J70" i="12"/>
  <c r="I70" i="12"/>
  <c r="H70" i="12"/>
  <c r="F70" i="12"/>
  <c r="D70" i="12"/>
  <c r="G70" i="12" s="1"/>
  <c r="C70" i="12"/>
  <c r="B70" i="12"/>
  <c r="K69" i="12"/>
  <c r="J69" i="12"/>
  <c r="I69" i="12"/>
  <c r="H69" i="12"/>
  <c r="D69" i="12"/>
  <c r="G69" i="12" s="1"/>
  <c r="C69" i="12"/>
  <c r="B69" i="12"/>
  <c r="K68" i="12"/>
  <c r="J68" i="12"/>
  <c r="I68" i="12"/>
  <c r="H68" i="12"/>
  <c r="D68" i="12"/>
  <c r="G68" i="12" s="1"/>
  <c r="C68" i="12"/>
  <c r="B68" i="12"/>
  <c r="K67" i="12"/>
  <c r="J67" i="12"/>
  <c r="I67" i="12"/>
  <c r="H67" i="12"/>
  <c r="D67" i="12"/>
  <c r="G67" i="12" s="1"/>
  <c r="C67" i="12"/>
  <c r="B67" i="12"/>
  <c r="K66" i="12"/>
  <c r="J66" i="12"/>
  <c r="I66" i="12"/>
  <c r="H66" i="12"/>
  <c r="D66" i="12"/>
  <c r="G66" i="12" s="1"/>
  <c r="C66" i="12"/>
  <c r="B66" i="12"/>
  <c r="K65" i="12"/>
  <c r="J65" i="12"/>
  <c r="I65" i="12"/>
  <c r="H65" i="12"/>
  <c r="D65" i="12"/>
  <c r="G65" i="12" s="1"/>
  <c r="C65" i="12"/>
  <c r="B65" i="12"/>
  <c r="K64" i="12"/>
  <c r="J64" i="12"/>
  <c r="I64" i="12"/>
  <c r="H64" i="12"/>
  <c r="D64" i="12"/>
  <c r="C64" i="12"/>
  <c r="B64" i="12"/>
  <c r="K63" i="12"/>
  <c r="J63" i="12"/>
  <c r="I63" i="12"/>
  <c r="H63" i="12"/>
  <c r="G63" i="12"/>
  <c r="F63" i="12"/>
  <c r="K61" i="12"/>
  <c r="J61" i="12"/>
  <c r="I61" i="12"/>
  <c r="H61" i="12"/>
  <c r="D61" i="12"/>
  <c r="G61" i="12" s="1"/>
  <c r="C61" i="12"/>
  <c r="B61" i="12"/>
  <c r="K60" i="12"/>
  <c r="J60" i="12"/>
  <c r="I60" i="12"/>
  <c r="H60" i="12"/>
  <c r="D60" i="12"/>
  <c r="F60" i="12" s="1"/>
  <c r="C60" i="12"/>
  <c r="B60" i="12"/>
  <c r="K59" i="12"/>
  <c r="J59" i="12"/>
  <c r="I59" i="12"/>
  <c r="H59" i="12"/>
  <c r="D59" i="12"/>
  <c r="G59" i="12" s="1"/>
  <c r="C59" i="12"/>
  <c r="B59" i="12"/>
  <c r="K58" i="12"/>
  <c r="J58" i="12"/>
  <c r="I58" i="12"/>
  <c r="H58" i="12"/>
  <c r="G58" i="12"/>
  <c r="F58" i="12"/>
  <c r="D58" i="12"/>
  <c r="C58" i="12"/>
  <c r="B58" i="12"/>
  <c r="K57" i="12"/>
  <c r="J57" i="12"/>
  <c r="I57" i="12"/>
  <c r="H57" i="12"/>
  <c r="D57" i="12"/>
  <c r="F57" i="12" s="1"/>
  <c r="C57" i="12"/>
  <c r="B57" i="12"/>
  <c r="K56" i="12"/>
  <c r="J56" i="12"/>
  <c r="I56" i="12"/>
  <c r="H56" i="12"/>
  <c r="D56" i="12"/>
  <c r="F56" i="12" s="1"/>
  <c r="C56" i="12"/>
  <c r="B56" i="12"/>
  <c r="K55" i="12"/>
  <c r="J55" i="12"/>
  <c r="I55" i="12"/>
  <c r="H55" i="12"/>
  <c r="D55" i="12"/>
  <c r="G55" i="12" s="1"/>
  <c r="C55" i="12"/>
  <c r="B55" i="12"/>
  <c r="K54" i="12"/>
  <c r="J54" i="12"/>
  <c r="I54" i="12"/>
  <c r="H54" i="12"/>
  <c r="D54" i="12"/>
  <c r="C54" i="12"/>
  <c r="B54" i="12"/>
  <c r="K53" i="12"/>
  <c r="J53" i="12"/>
  <c r="I53" i="12"/>
  <c r="H53" i="12"/>
  <c r="G53" i="12"/>
  <c r="F53" i="12"/>
  <c r="K43" i="12"/>
  <c r="J43" i="12"/>
  <c r="I43" i="12"/>
  <c r="H43" i="12"/>
  <c r="G43" i="12"/>
  <c r="F43" i="12"/>
  <c r="A40" i="12"/>
  <c r="K31" i="12"/>
  <c r="J31" i="12"/>
  <c r="I31" i="12"/>
  <c r="H31" i="12"/>
  <c r="K30" i="12"/>
  <c r="J30" i="12"/>
  <c r="I30" i="12"/>
  <c r="H30" i="12"/>
  <c r="G30" i="12"/>
  <c r="F30" i="12"/>
  <c r="M27" i="12"/>
  <c r="K19" i="12"/>
  <c r="J19" i="12"/>
  <c r="I19" i="12"/>
  <c r="H19" i="12"/>
  <c r="K18" i="12"/>
  <c r="J18" i="12"/>
  <c r="I18" i="12"/>
  <c r="H18" i="12"/>
  <c r="G18" i="12"/>
  <c r="F18" i="12"/>
  <c r="M17" i="12"/>
  <c r="I16" i="12"/>
  <c r="M8" i="12"/>
  <c r="I85" i="12" l="1"/>
  <c r="I87" i="13"/>
  <c r="F56" i="13"/>
  <c r="F60" i="13"/>
  <c r="F69" i="13"/>
  <c r="I85" i="13"/>
  <c r="F65" i="13"/>
  <c r="AK35" i="14"/>
  <c r="AK34" i="14"/>
  <c r="AK33" i="14"/>
  <c r="F81" i="13"/>
  <c r="G57" i="12"/>
  <c r="F77" i="13"/>
  <c r="F54" i="12"/>
  <c r="F68" i="12"/>
  <c r="F64" i="13"/>
  <c r="F86" i="13" s="1"/>
  <c r="G54" i="12"/>
  <c r="F66" i="12"/>
  <c r="K86" i="12"/>
  <c r="G80" i="13"/>
  <c r="K86" i="13"/>
  <c r="I87" i="12"/>
  <c r="F76" i="12"/>
  <c r="G76" i="13"/>
  <c r="AB36" i="16"/>
  <c r="AB41" i="16" s="1"/>
  <c r="AJ45" i="16"/>
  <c r="AB43" i="16"/>
  <c r="L76" i="16"/>
  <c r="E87" i="16" s="1"/>
  <c r="U47" i="16"/>
  <c r="AZ9" i="16"/>
  <c r="AY36" i="16"/>
  <c r="AY20" i="16"/>
  <c r="AB43" i="14"/>
  <c r="L76" i="14"/>
  <c r="AJ45" i="14"/>
  <c r="L71" i="14" s="1"/>
  <c r="F71" i="14" s="1"/>
  <c r="AY36" i="14"/>
  <c r="K102" i="14"/>
  <c r="AB44" i="14"/>
  <c r="L88" i="14"/>
  <c r="N88" i="14" s="1"/>
  <c r="AY20" i="14"/>
  <c r="K104" i="14"/>
  <c r="L70" i="14"/>
  <c r="N70" i="14" s="1"/>
  <c r="L104" i="14"/>
  <c r="N104" i="14" s="1"/>
  <c r="K71" i="14"/>
  <c r="K72" i="14"/>
  <c r="K88" i="14"/>
  <c r="K103" i="14"/>
  <c r="L72" i="14"/>
  <c r="F72" i="14" s="1"/>
  <c r="E86" i="14"/>
  <c r="K87" i="14"/>
  <c r="E79" i="14"/>
  <c r="L79" i="14"/>
  <c r="K86" i="14"/>
  <c r="AZ33" i="14"/>
  <c r="Z41" i="14"/>
  <c r="AZ35" i="14"/>
  <c r="AY49" i="14" s="1"/>
  <c r="AZ34" i="14"/>
  <c r="AY48" i="14" s="1"/>
  <c r="H86" i="13"/>
  <c r="F54" i="13"/>
  <c r="F58" i="13"/>
  <c r="F70" i="13"/>
  <c r="F74" i="13"/>
  <c r="F78" i="13"/>
  <c r="K85" i="13"/>
  <c r="I86" i="13"/>
  <c r="I90" i="13" s="1"/>
  <c r="K87" i="13"/>
  <c r="K90" i="13" s="1"/>
  <c r="G54" i="13"/>
  <c r="G85" i="13" s="1"/>
  <c r="F55" i="13"/>
  <c r="F59" i="13"/>
  <c r="G66" i="13"/>
  <c r="G86" i="13" s="1"/>
  <c r="F67" i="13"/>
  <c r="F71" i="13"/>
  <c r="G74" i="13"/>
  <c r="G87" i="13" s="1"/>
  <c r="F75" i="13"/>
  <c r="F79" i="13"/>
  <c r="H85" i="13"/>
  <c r="J86" i="13"/>
  <c r="H87" i="13"/>
  <c r="J85" i="13"/>
  <c r="J87" i="13"/>
  <c r="G56" i="12"/>
  <c r="G85" i="12" s="1"/>
  <c r="G60" i="12"/>
  <c r="F61" i="12"/>
  <c r="G64" i="12"/>
  <c r="G86" i="12" s="1"/>
  <c r="F65" i="12"/>
  <c r="F69" i="12"/>
  <c r="F77" i="12"/>
  <c r="G80" i="12"/>
  <c r="F81" i="12"/>
  <c r="J85" i="12"/>
  <c r="H86" i="12"/>
  <c r="J87" i="12"/>
  <c r="K85" i="12"/>
  <c r="I86" i="12"/>
  <c r="K87" i="12"/>
  <c r="K90" i="12" s="1"/>
  <c r="F55" i="12"/>
  <c r="F59" i="12"/>
  <c r="F67" i="12"/>
  <c r="F71" i="12"/>
  <c r="G74" i="12"/>
  <c r="F75" i="12"/>
  <c r="F79" i="12"/>
  <c r="H85" i="12"/>
  <c r="J86" i="12"/>
  <c r="H87" i="12"/>
  <c r="F64" i="12"/>
  <c r="F86" i="12" s="1"/>
  <c r="AK35" i="16" l="1"/>
  <c r="AK34" i="16"/>
  <c r="AK33" i="16"/>
  <c r="F87" i="12"/>
  <c r="G87" i="12"/>
  <c r="J90" i="12"/>
  <c r="K103" i="16"/>
  <c r="E71" i="16"/>
  <c r="E103" i="16"/>
  <c r="F85" i="12"/>
  <c r="I90" i="12"/>
  <c r="E70" i="14"/>
  <c r="F85" i="13"/>
  <c r="F89" i="13" s="1"/>
  <c r="E102" i="14"/>
  <c r="AB44" i="16"/>
  <c r="E86" i="16"/>
  <c r="E102" i="16"/>
  <c r="L72" i="16"/>
  <c r="K102" i="16"/>
  <c r="E79" i="16"/>
  <c r="E70" i="16"/>
  <c r="K95" i="16"/>
  <c r="K86" i="16"/>
  <c r="L102" i="16"/>
  <c r="L70" i="16"/>
  <c r="K104" i="16"/>
  <c r="K71" i="16"/>
  <c r="K88" i="16"/>
  <c r="K70" i="16"/>
  <c r="L71" i="16"/>
  <c r="K63" i="16"/>
  <c r="K72" i="16"/>
  <c r="L104" i="16"/>
  <c r="F104" i="16" s="1"/>
  <c r="L88" i="16"/>
  <c r="N88" i="16" s="1"/>
  <c r="L86" i="16"/>
  <c r="K87" i="16"/>
  <c r="AZ34" i="16"/>
  <c r="AY48" i="16" s="1"/>
  <c r="Z41" i="16"/>
  <c r="Z44" i="16" s="1"/>
  <c r="L60" i="16" s="1"/>
  <c r="W61" i="16" s="1"/>
  <c r="AZ33" i="16"/>
  <c r="AY47" i="16" s="1"/>
  <c r="AY37" i="16" s="1"/>
  <c r="AY38" i="16" s="1"/>
  <c r="K79" i="16"/>
  <c r="L79" i="16"/>
  <c r="F79" i="16" s="1"/>
  <c r="AZ35" i="16"/>
  <c r="AY49" i="16" s="1"/>
  <c r="L34" i="16"/>
  <c r="K70" i="14"/>
  <c r="L86" i="14"/>
  <c r="N86" i="14" s="1"/>
  <c r="K79" i="14"/>
  <c r="K63" i="14"/>
  <c r="E71" i="14"/>
  <c r="E103" i="14"/>
  <c r="K95" i="14"/>
  <c r="E87" i="14"/>
  <c r="AB25" i="14"/>
  <c r="E97" i="14"/>
  <c r="E81" i="14"/>
  <c r="E65" i="14"/>
  <c r="L102" i="14"/>
  <c r="N71" i="14"/>
  <c r="F102" i="14"/>
  <c r="L103" i="14"/>
  <c r="N103" i="14" s="1"/>
  <c r="F88" i="14"/>
  <c r="F104" i="14"/>
  <c r="N72" i="14"/>
  <c r="F70" i="14"/>
  <c r="L73" i="14"/>
  <c r="N73" i="14" s="1"/>
  <c r="Z44" i="14"/>
  <c r="L60" i="14"/>
  <c r="AY34" i="14"/>
  <c r="AB34" i="14" s="1"/>
  <c r="AJ48" i="14" s="1"/>
  <c r="AY33" i="14"/>
  <c r="AB33" i="14" s="1"/>
  <c r="AJ47" i="14" s="1"/>
  <c r="AY35" i="14"/>
  <c r="AB35" i="14" s="1"/>
  <c r="AJ49" i="14" s="1"/>
  <c r="AY47" i="14"/>
  <c r="N79" i="14"/>
  <c r="F79" i="14"/>
  <c r="I44" i="13"/>
  <c r="K44" i="13"/>
  <c r="J44" i="13"/>
  <c r="H89" i="13"/>
  <c r="H44" i="13"/>
  <c r="G44" i="13"/>
  <c r="H88" i="13"/>
  <c r="I88" i="13"/>
  <c r="I46" i="13"/>
  <c r="G46" i="13"/>
  <c r="H46" i="13"/>
  <c r="K46" i="13"/>
  <c r="J46" i="13"/>
  <c r="G88" i="13"/>
  <c r="G89" i="13"/>
  <c r="I89" i="13"/>
  <c r="J88" i="13"/>
  <c r="J89" i="13"/>
  <c r="K88" i="13"/>
  <c r="K89" i="13"/>
  <c r="G90" i="13"/>
  <c r="J90" i="13"/>
  <c r="F87" i="13"/>
  <c r="F90" i="13" s="1"/>
  <c r="K45" i="13"/>
  <c r="G45" i="13"/>
  <c r="H90" i="13"/>
  <c r="J45" i="13"/>
  <c r="F45" i="13"/>
  <c r="I45" i="13"/>
  <c r="H45" i="13"/>
  <c r="F88" i="12"/>
  <c r="F89" i="12"/>
  <c r="G90" i="12"/>
  <c r="F90" i="12"/>
  <c r="K88" i="12"/>
  <c r="K89" i="12"/>
  <c r="K45" i="12"/>
  <c r="G45" i="12"/>
  <c r="J45" i="12"/>
  <c r="F45" i="12"/>
  <c r="I45" i="12"/>
  <c r="H90" i="12"/>
  <c r="H45" i="12"/>
  <c r="I88" i="12"/>
  <c r="I44" i="12"/>
  <c r="H89" i="12"/>
  <c r="H44" i="12"/>
  <c r="K44" i="12"/>
  <c r="G44" i="12"/>
  <c r="H88" i="12"/>
  <c r="J44" i="12"/>
  <c r="F44" i="12"/>
  <c r="G88" i="12"/>
  <c r="G89" i="12"/>
  <c r="J88" i="12"/>
  <c r="J89" i="12"/>
  <c r="I89" i="12"/>
  <c r="I46" i="12"/>
  <c r="H46" i="12"/>
  <c r="K46" i="12"/>
  <c r="G46" i="12"/>
  <c r="J46" i="12"/>
  <c r="F46" i="12"/>
  <c r="K97" i="16" l="1"/>
  <c r="E65" i="16"/>
  <c r="E81" i="16"/>
  <c r="E97" i="16"/>
  <c r="L87" i="14"/>
  <c r="L89" i="14" s="1"/>
  <c r="F86" i="14"/>
  <c r="F44" i="13"/>
  <c r="AB25" i="16"/>
  <c r="F88" i="16"/>
  <c r="N104" i="16"/>
  <c r="N71" i="16"/>
  <c r="F71" i="16"/>
  <c r="L103" i="16"/>
  <c r="L105" i="16" s="1"/>
  <c r="N105" i="16" s="1"/>
  <c r="F102" i="16"/>
  <c r="N79" i="16"/>
  <c r="N102" i="16"/>
  <c r="F72" i="16"/>
  <c r="N72" i="16"/>
  <c r="N70" i="16"/>
  <c r="L73" i="16"/>
  <c r="F70" i="16"/>
  <c r="AY52" i="16"/>
  <c r="F86" i="16"/>
  <c r="L87" i="16"/>
  <c r="F87" i="16" s="1"/>
  <c r="AY53" i="16"/>
  <c r="AY35" i="16"/>
  <c r="AB35" i="16" s="1"/>
  <c r="AJ49" i="16" s="1"/>
  <c r="AY33" i="16"/>
  <c r="AB33" i="16" s="1"/>
  <c r="AJ47" i="16" s="1"/>
  <c r="AB37" i="16" s="1"/>
  <c r="AB38" i="16" s="1"/>
  <c r="N86" i="16"/>
  <c r="AY54" i="16"/>
  <c r="K65" i="16"/>
  <c r="K80" i="16"/>
  <c r="M25" i="16"/>
  <c r="I76" i="16" s="1"/>
  <c r="L35" i="16"/>
  <c r="K96" i="16"/>
  <c r="L64" i="16"/>
  <c r="L65" i="16" s="1"/>
  <c r="E80" i="16"/>
  <c r="K64" i="16"/>
  <c r="L96" i="16"/>
  <c r="E96" i="16"/>
  <c r="L80" i="16"/>
  <c r="L81" i="16" s="1"/>
  <c r="K81" i="16"/>
  <c r="E64" i="16"/>
  <c r="M34" i="16"/>
  <c r="AY34" i="16"/>
  <c r="AB34" i="16" s="1"/>
  <c r="AJ48" i="16" s="1"/>
  <c r="L105" i="14"/>
  <c r="N102" i="14"/>
  <c r="F103" i="14"/>
  <c r="Y61" i="14"/>
  <c r="AJ52" i="14"/>
  <c r="AB37" i="14"/>
  <c r="AB38" i="14" s="1"/>
  <c r="AJ54" i="14"/>
  <c r="AY52" i="14"/>
  <c r="AY37" i="14"/>
  <c r="AY38" i="14" s="1"/>
  <c r="AY54" i="14"/>
  <c r="AY53" i="14"/>
  <c r="W61" i="14"/>
  <c r="N87" i="14"/>
  <c r="F87" i="14"/>
  <c r="L96" i="14"/>
  <c r="L64" i="14"/>
  <c r="M34" i="14"/>
  <c r="M25" i="14"/>
  <c r="L80" i="14"/>
  <c r="K65" i="14"/>
  <c r="K64" i="14"/>
  <c r="L34" i="14"/>
  <c r="L35" i="14"/>
  <c r="K81" i="14"/>
  <c r="K96" i="14"/>
  <c r="K80" i="14"/>
  <c r="K97" i="14"/>
  <c r="E64" i="14"/>
  <c r="E80" i="14"/>
  <c r="E96" i="14"/>
  <c r="Y62" i="14"/>
  <c r="N89" i="14"/>
  <c r="K49" i="13"/>
  <c r="G49" i="13"/>
  <c r="H49" i="13"/>
  <c r="J49" i="13"/>
  <c r="F49" i="13"/>
  <c r="I49" i="13"/>
  <c r="F46" i="13"/>
  <c r="I48" i="13"/>
  <c r="J48" i="13"/>
  <c r="H48" i="13"/>
  <c r="K48" i="13"/>
  <c r="G48" i="13"/>
  <c r="F48" i="13"/>
  <c r="K47" i="13"/>
  <c r="G47" i="13"/>
  <c r="I47" i="13"/>
  <c r="H47" i="13"/>
  <c r="J47" i="13"/>
  <c r="F88" i="13"/>
  <c r="F47" i="13" s="1"/>
  <c r="K47" i="12"/>
  <c r="G47" i="12"/>
  <c r="J47" i="12"/>
  <c r="F47" i="12"/>
  <c r="I47" i="12"/>
  <c r="H47" i="12"/>
  <c r="I48" i="12"/>
  <c r="H48" i="12"/>
  <c r="K48" i="12"/>
  <c r="G48" i="12"/>
  <c r="J48" i="12"/>
  <c r="F48" i="12"/>
  <c r="K49" i="12"/>
  <c r="G49" i="12"/>
  <c r="J49" i="12"/>
  <c r="F49" i="12"/>
  <c r="I49" i="12"/>
  <c r="H49" i="12"/>
  <c r="L83" i="16" l="1"/>
  <c r="X62" i="16" s="1"/>
  <c r="L89" i="16"/>
  <c r="J76" i="16"/>
  <c r="F96" i="16"/>
  <c r="Y63" i="16"/>
  <c r="N73" i="16"/>
  <c r="Y61" i="16"/>
  <c r="N103" i="16"/>
  <c r="F103" i="16"/>
  <c r="N87" i="16"/>
  <c r="AJ54" i="16"/>
  <c r="AJ52" i="16"/>
  <c r="M35" i="16"/>
  <c r="M38" i="16" s="1"/>
  <c r="N96" i="16"/>
  <c r="N64" i="16"/>
  <c r="L97" i="16"/>
  <c r="N97" i="16" s="1"/>
  <c r="L67" i="16"/>
  <c r="N67" i="16" s="1"/>
  <c r="F64" i="16"/>
  <c r="N80" i="16"/>
  <c r="F80" i="16"/>
  <c r="F81" i="16"/>
  <c r="N81" i="16"/>
  <c r="W62" i="16"/>
  <c r="L92" i="16"/>
  <c r="W63" i="16" s="1"/>
  <c r="N65" i="16"/>
  <c r="F65" i="16"/>
  <c r="AJ53" i="14"/>
  <c r="N105" i="14"/>
  <c r="Y63" i="14"/>
  <c r="L81" i="14"/>
  <c r="L83" i="14" s="1"/>
  <c r="F80" i="14"/>
  <c r="N80" i="14"/>
  <c r="M35" i="14"/>
  <c r="M38" i="14"/>
  <c r="L97" i="14"/>
  <c r="F96" i="14"/>
  <c r="N96" i="14"/>
  <c r="L99" i="14"/>
  <c r="I76" i="14"/>
  <c r="J76" i="14"/>
  <c r="L65" i="14"/>
  <c r="L67" i="14" s="1"/>
  <c r="F64" i="14"/>
  <c r="N64" i="14"/>
  <c r="AJ53" i="16" l="1"/>
  <c r="N83" i="16"/>
  <c r="L99" i="16"/>
  <c r="N89" i="16"/>
  <c r="Y62" i="16"/>
  <c r="F97" i="16"/>
  <c r="X61" i="16"/>
  <c r="N83" i="14"/>
  <c r="X62" i="14"/>
  <c r="F81" i="14"/>
  <c r="N81" i="14"/>
  <c r="N97" i="14"/>
  <c r="F97" i="14"/>
  <c r="N65" i="14"/>
  <c r="F65" i="14"/>
  <c r="W62" i="14"/>
  <c r="L92" i="14"/>
  <c r="W63" i="14" s="1"/>
  <c r="X63" i="14"/>
  <c r="N99" i="14"/>
  <c r="X61" i="14"/>
  <c r="N67" i="14"/>
  <c r="N99" i="16" l="1"/>
  <c r="X63" i="16"/>
  <c r="AH20" i="7" l="1"/>
  <c r="X32" i="7" l="1"/>
  <c r="AG20" i="7" l="1"/>
  <c r="AF20" i="7"/>
  <c r="AE20" i="7"/>
  <c r="AD20" i="7"/>
  <c r="AC20" i="7"/>
  <c r="AI20" i="7"/>
  <c r="AB40" i="7"/>
  <c r="Z40" i="7"/>
  <c r="X33" i="7"/>
  <c r="X36" i="7"/>
  <c r="T20" i="7"/>
  <c r="P20" i="7"/>
  <c r="S20" i="7"/>
  <c r="R20" i="7"/>
  <c r="Q20" i="7"/>
  <c r="O20" i="7"/>
  <c r="N20" i="7"/>
  <c r="M20" i="7"/>
  <c r="Z45" i="7" l="1"/>
  <c r="X18" i="7" l="1"/>
  <c r="X17" i="7"/>
  <c r="X16" i="7"/>
  <c r="X15" i="7"/>
  <c r="X14" i="7"/>
  <c r="X13" i="7"/>
  <c r="X12" i="7"/>
  <c r="X11" i="7"/>
  <c r="X10" i="7"/>
  <c r="X9" i="7"/>
  <c r="I10" i="7"/>
  <c r="I11" i="7"/>
  <c r="I12" i="7"/>
  <c r="I13" i="7"/>
  <c r="I14" i="7"/>
  <c r="I15" i="7"/>
  <c r="I16" i="7"/>
  <c r="I17" i="7"/>
  <c r="I18" i="7"/>
  <c r="I9" i="7"/>
  <c r="E104" i="7" l="1"/>
  <c r="B104" i="7"/>
  <c r="J92" i="7"/>
  <c r="E88" i="7"/>
  <c r="B88" i="7"/>
  <c r="E72" i="7"/>
  <c r="B72" i="7"/>
  <c r="X46" i="7"/>
  <c r="AM46" i="7" s="1"/>
  <c r="M46" i="7"/>
  <c r="I40" i="7"/>
  <c r="AM38" i="7"/>
  <c r="BH32" i="7"/>
  <c r="BE32" i="7"/>
  <c r="I32" i="7"/>
  <c r="BH31" i="7"/>
  <c r="BE31" i="7"/>
  <c r="BH30" i="7"/>
  <c r="BI30" i="7" s="1"/>
  <c r="M30" i="7"/>
  <c r="J30" i="7"/>
  <c r="BH29" i="7"/>
  <c r="BE29" i="7"/>
  <c r="M29" i="7"/>
  <c r="J29" i="7"/>
  <c r="BH28" i="7"/>
  <c r="BE28" i="7"/>
  <c r="M28" i="7"/>
  <c r="J28" i="7"/>
  <c r="BH27" i="7"/>
  <c r="BI27" i="7" s="1"/>
  <c r="X27" i="7"/>
  <c r="I27" i="7"/>
  <c r="BH26" i="7"/>
  <c r="BE26" i="7"/>
  <c r="AB26" i="7"/>
  <c r="BH25" i="7"/>
  <c r="BE25" i="7"/>
  <c r="BH24" i="7"/>
  <c r="BI24" i="7" s="1"/>
  <c r="I24" i="7"/>
  <c r="BH23" i="7"/>
  <c r="BE23" i="7"/>
  <c r="AB23" i="7"/>
  <c r="X23" i="7"/>
  <c r="BH22" i="7"/>
  <c r="BE22" i="7"/>
  <c r="I22" i="7"/>
  <c r="B22" i="7"/>
  <c r="BH21" i="7"/>
  <c r="BI21" i="7" s="1"/>
  <c r="BH20" i="7"/>
  <c r="BE20" i="7"/>
  <c r="AB20" i="7"/>
  <c r="AA20" i="7"/>
  <c r="Z20" i="7"/>
  <c r="Y20" i="7"/>
  <c r="L20" i="7"/>
  <c r="K20" i="7"/>
  <c r="J20" i="7"/>
  <c r="BH19" i="7"/>
  <c r="BE19" i="7"/>
  <c r="AQ19" i="7"/>
  <c r="AP19" i="7"/>
  <c r="AO19" i="7"/>
  <c r="AN19" i="7"/>
  <c r="AM19" i="7"/>
  <c r="E19" i="7"/>
  <c r="X19" i="7" s="1"/>
  <c r="BH18" i="7"/>
  <c r="BE18" i="7"/>
  <c r="AQ18" i="7"/>
  <c r="AP18" i="7"/>
  <c r="AO18" i="7"/>
  <c r="AN18" i="7"/>
  <c r="AM18" i="7"/>
  <c r="BH17" i="7"/>
  <c r="BE17" i="7"/>
  <c r="AQ17" i="7"/>
  <c r="AP17" i="7"/>
  <c r="AO17" i="7"/>
  <c r="AN17" i="7"/>
  <c r="AM17" i="7"/>
  <c r="BH16" i="7"/>
  <c r="BE16" i="7"/>
  <c r="AQ16" i="7"/>
  <c r="AP16" i="7"/>
  <c r="AO16" i="7"/>
  <c r="AN16" i="7"/>
  <c r="AM16" i="7"/>
  <c r="BH15" i="7"/>
  <c r="BI15" i="7" s="1"/>
  <c r="AQ15" i="7"/>
  <c r="AP15" i="7"/>
  <c r="AO15" i="7"/>
  <c r="AN15" i="7"/>
  <c r="AM15" i="7"/>
  <c r="BH14" i="7"/>
  <c r="BE14" i="7"/>
  <c r="AQ14" i="7"/>
  <c r="AP14" i="7"/>
  <c r="AO14" i="7"/>
  <c r="AN14" i="7"/>
  <c r="AM14" i="7"/>
  <c r="BH13" i="7"/>
  <c r="BE13" i="7"/>
  <c r="AQ13" i="7"/>
  <c r="AP13" i="7"/>
  <c r="AO13" i="7"/>
  <c r="AN13" i="7"/>
  <c r="AM13" i="7"/>
  <c r="BH12" i="7"/>
  <c r="BE12" i="7"/>
  <c r="AQ12" i="7"/>
  <c r="AP12" i="7"/>
  <c r="AO12" i="7"/>
  <c r="AN12" i="7"/>
  <c r="AM12" i="7"/>
  <c r="BH11" i="7"/>
  <c r="BE11" i="7"/>
  <c r="AQ11" i="7"/>
  <c r="AP11" i="7"/>
  <c r="AO11" i="7"/>
  <c r="AN11" i="7"/>
  <c r="AM11" i="7"/>
  <c r="BH10" i="7"/>
  <c r="BE10" i="7"/>
  <c r="AQ10" i="7"/>
  <c r="AP10" i="7"/>
  <c r="AO10" i="7"/>
  <c r="AN10" i="7"/>
  <c r="AM10" i="7"/>
  <c r="BH9" i="7"/>
  <c r="BI9" i="7" s="1"/>
  <c r="AQ9" i="7"/>
  <c r="AP9" i="7"/>
  <c r="AO9" i="7"/>
  <c r="AN9" i="7"/>
  <c r="AM9" i="7"/>
  <c r="AQ8" i="7"/>
  <c r="AP8" i="7"/>
  <c r="AO8" i="7"/>
  <c r="AN8" i="7"/>
  <c r="B8" i="7"/>
  <c r="BB6" i="7"/>
  <c r="F8" i="7" s="1"/>
  <c r="AY6" i="7"/>
  <c r="BF5" i="7"/>
  <c r="BE5" i="7"/>
  <c r="BD5" i="7"/>
  <c r="BC5" i="7"/>
  <c r="BB5" i="7"/>
  <c r="BA5" i="7"/>
  <c r="AX20" i="7" l="1"/>
  <c r="AT20" i="7"/>
  <c r="AR20" i="7"/>
  <c r="AW20" i="7"/>
  <c r="AV20" i="7"/>
  <c r="AU20" i="7"/>
  <c r="AS20" i="7"/>
  <c r="AQ20" i="7"/>
  <c r="N27" i="7"/>
  <c r="N24" i="7" s="1"/>
  <c r="M76" i="7"/>
  <c r="BI17" i="7"/>
  <c r="BI18" i="7"/>
  <c r="U15" i="7"/>
  <c r="V15" i="7" s="1"/>
  <c r="BI19" i="7"/>
  <c r="BI20" i="7"/>
  <c r="M87" i="7"/>
  <c r="N22" i="7"/>
  <c r="B94" i="7" s="1"/>
  <c r="BI31" i="7"/>
  <c r="BI26" i="7"/>
  <c r="AJ13" i="7"/>
  <c r="AK13" i="7" s="1"/>
  <c r="U14" i="7"/>
  <c r="V14" i="7" s="1"/>
  <c r="U10" i="7"/>
  <c r="V10" i="7" s="1"/>
  <c r="BI11" i="7"/>
  <c r="BI23" i="7"/>
  <c r="M64" i="7"/>
  <c r="M72" i="7"/>
  <c r="M102" i="7"/>
  <c r="U13" i="7"/>
  <c r="V13" i="7" s="1"/>
  <c r="BI13" i="7"/>
  <c r="BI16" i="7"/>
  <c r="U9" i="7"/>
  <c r="V9" i="7" s="1"/>
  <c r="BI29" i="7"/>
  <c r="N34" i="7"/>
  <c r="N41" i="7"/>
  <c r="M71" i="7"/>
  <c r="M79" i="7"/>
  <c r="M98" i="7"/>
  <c r="AN20" i="7"/>
  <c r="BI10" i="7"/>
  <c r="BI32" i="7"/>
  <c r="BA6" i="7"/>
  <c r="BD6" i="7"/>
  <c r="AO20" i="7"/>
  <c r="AJ9" i="7"/>
  <c r="AJ10" i="7"/>
  <c r="AK10" i="7" s="1"/>
  <c r="BI22" i="7"/>
  <c r="BI25" i="7"/>
  <c r="N38" i="7"/>
  <c r="AJ17" i="7"/>
  <c r="AK17" i="7" s="1"/>
  <c r="U12" i="7"/>
  <c r="V12" i="7" s="1"/>
  <c r="U16" i="7"/>
  <c r="V16" i="7" s="1"/>
  <c r="U17" i="7"/>
  <c r="V17" i="7" s="1"/>
  <c r="U11" i="7"/>
  <c r="V11" i="7" s="1"/>
  <c r="U18" i="7"/>
  <c r="V18" i="7" s="1"/>
  <c r="BI12" i="7"/>
  <c r="M36" i="7"/>
  <c r="M63" i="7"/>
  <c r="M67" i="7"/>
  <c r="M96" i="7"/>
  <c r="AC23" i="7"/>
  <c r="N35" i="7"/>
  <c r="M66" i="7"/>
  <c r="M99" i="7"/>
  <c r="B60" i="7"/>
  <c r="K92" i="7"/>
  <c r="AM33" i="7"/>
  <c r="AM34" i="7"/>
  <c r="K60" i="7"/>
  <c r="AM35" i="7"/>
  <c r="X44" i="7"/>
  <c r="BC6" i="7"/>
  <c r="AP20" i="7"/>
  <c r="E82" i="7"/>
  <c r="AJ12" i="7"/>
  <c r="AK12" i="7" s="1"/>
  <c r="AJ15" i="7"/>
  <c r="AK15" i="7" s="1"/>
  <c r="N43" i="7"/>
  <c r="L66" i="7"/>
  <c r="M83" i="7"/>
  <c r="M89" i="7"/>
  <c r="L98" i="7"/>
  <c r="M104" i="7"/>
  <c r="L82" i="7"/>
  <c r="AJ11" i="7"/>
  <c r="AK11" i="7" s="1"/>
  <c r="BI14" i="7"/>
  <c r="AJ16" i="7"/>
  <c r="AK16" i="7" s="1"/>
  <c r="AJ19" i="7"/>
  <c r="AK19" i="7" s="1"/>
  <c r="AJ18" i="7"/>
  <c r="AK18" i="7" s="1"/>
  <c r="AJ14" i="7"/>
  <c r="AK14" i="7" s="1"/>
  <c r="BI28" i="7"/>
  <c r="E66" i="7"/>
  <c r="M81" i="7"/>
  <c r="M86" i="7"/>
  <c r="M88" i="7"/>
  <c r="E98" i="7"/>
  <c r="N42" i="7"/>
  <c r="M65" i="7"/>
  <c r="M70" i="7"/>
  <c r="M73" i="7"/>
  <c r="M95" i="7"/>
  <c r="M97" i="7"/>
  <c r="M103" i="7"/>
  <c r="M105" i="7"/>
  <c r="N33" i="7"/>
  <c r="N36" i="7"/>
  <c r="M80" i="7"/>
  <c r="M82" i="7"/>
  <c r="Z42" i="7" l="1"/>
  <c r="Z43" i="7" s="1"/>
  <c r="X48" i="7"/>
  <c r="AK47" i="7"/>
  <c r="AK48" i="7"/>
  <c r="AK49" i="7"/>
  <c r="AM48" i="7"/>
  <c r="B101" i="7"/>
  <c r="AM51" i="7"/>
  <c r="AK9" i="7"/>
  <c r="AB42" i="7" s="1"/>
  <c r="AB43" i="7" s="1"/>
  <c r="AY14" i="7"/>
  <c r="AZ14" i="7" s="1"/>
  <c r="M47" i="7"/>
  <c r="AC36" i="7" s="1"/>
  <c r="AC37" i="7" s="1"/>
  <c r="X49" i="7"/>
  <c r="X41" i="7"/>
  <c r="X51" i="7"/>
  <c r="AY16" i="7"/>
  <c r="AZ16" i="7" s="1"/>
  <c r="U20" i="7"/>
  <c r="AY19" i="7"/>
  <c r="AZ19" i="7" s="1"/>
  <c r="X47" i="7"/>
  <c r="AZ48" i="7"/>
  <c r="AM36" i="7"/>
  <c r="B69" i="7"/>
  <c r="Y60" i="7" s="1"/>
  <c r="AZ49" i="7"/>
  <c r="AM49" i="7"/>
  <c r="AM37" i="7"/>
  <c r="X43" i="7"/>
  <c r="AZ47" i="7"/>
  <c r="V47" i="7"/>
  <c r="AY10" i="7"/>
  <c r="AZ10" i="7" s="1"/>
  <c r="AY15" i="7"/>
  <c r="AZ15" i="7" s="1"/>
  <c r="L36" i="7"/>
  <c r="AY9" i="7"/>
  <c r="AM47" i="7"/>
  <c r="B85" i="7"/>
  <c r="AY18" i="7"/>
  <c r="AZ18" i="7" s="1"/>
  <c r="B62" i="7"/>
  <c r="X60" i="7" s="1"/>
  <c r="B78" i="7"/>
  <c r="W58" i="7"/>
  <c r="B58" i="7"/>
  <c r="N82" i="7"/>
  <c r="F82" i="7"/>
  <c r="AJ20" i="7"/>
  <c r="AY13" i="7"/>
  <c r="AZ13" i="7" s="1"/>
  <c r="N98" i="7"/>
  <c r="F98" i="7"/>
  <c r="N66" i="7"/>
  <c r="F66" i="7"/>
  <c r="AY12" i="7"/>
  <c r="AZ12" i="7" s="1"/>
  <c r="AY17" i="7"/>
  <c r="AZ17" i="7" s="1"/>
  <c r="AY11" i="7"/>
  <c r="AZ11" i="7" s="1"/>
  <c r="AC34" i="7"/>
  <c r="K98" i="7"/>
  <c r="K66" i="7"/>
  <c r="AC35" i="7"/>
  <c r="AC24" i="7"/>
  <c r="K82" i="7"/>
  <c r="AC33" i="7"/>
  <c r="X26" i="7"/>
  <c r="I6" i="7"/>
  <c r="AM6" i="7"/>
  <c r="X6" i="7"/>
  <c r="K76" i="7" l="1"/>
  <c r="M92" i="7"/>
  <c r="M60" i="7"/>
  <c r="U47" i="7"/>
  <c r="B76" i="7"/>
  <c r="AZ9" i="7"/>
  <c r="AY36" i="7"/>
  <c r="AB36" i="7"/>
  <c r="AB41" i="7" s="1"/>
  <c r="AY20" i="7"/>
  <c r="AJ45" i="7"/>
  <c r="Z41" i="7" l="1"/>
  <c r="Z44" i="7" s="1"/>
  <c r="M25" i="7" s="1"/>
  <c r="AK35" i="7"/>
  <c r="AK34" i="7"/>
  <c r="AK33" i="7"/>
  <c r="AZ35" i="7"/>
  <c r="AY49" i="7" s="1"/>
  <c r="AZ33" i="7"/>
  <c r="AY47" i="7" s="1"/>
  <c r="AZ34" i="7"/>
  <c r="J60" i="7"/>
  <c r="L76" i="7" s="1"/>
  <c r="L42" i="7"/>
  <c r="K72" i="7" l="1"/>
  <c r="K104" i="7"/>
  <c r="K88" i="7"/>
  <c r="K103" i="7"/>
  <c r="K70" i="7"/>
  <c r="K102" i="7"/>
  <c r="K86" i="7"/>
  <c r="K87" i="7"/>
  <c r="AY48" i="7"/>
  <c r="AY34" i="7"/>
  <c r="AB34" i="7" s="1"/>
  <c r="AJ48" i="7" s="1"/>
  <c r="K95" i="7"/>
  <c r="L95" i="7"/>
  <c r="E63" i="7"/>
  <c r="E95" i="7"/>
  <c r="M41" i="7"/>
  <c r="M42" i="7" s="1"/>
  <c r="M43" i="7" s="1"/>
  <c r="L63" i="7"/>
  <c r="M33" i="7"/>
  <c r="L41" i="7"/>
  <c r="L33" i="7"/>
  <c r="E87" i="7"/>
  <c r="E103" i="7"/>
  <c r="E71" i="7"/>
  <c r="K79" i="7"/>
  <c r="K63" i="7"/>
  <c r="E70" i="7"/>
  <c r="E102" i="7"/>
  <c r="L88" i="7"/>
  <c r="L102" i="7"/>
  <c r="L71" i="7"/>
  <c r="L72" i="7"/>
  <c r="N72" i="7" s="1"/>
  <c r="L104" i="7"/>
  <c r="N104" i="7" s="1"/>
  <c r="L70" i="7"/>
  <c r="K71" i="7"/>
  <c r="AY35" i="7"/>
  <c r="AY33" i="7"/>
  <c r="AB33" i="7" s="1"/>
  <c r="E86" i="7"/>
  <c r="L86" i="7"/>
  <c r="E79" i="7"/>
  <c r="L79" i="7"/>
  <c r="AB44" i="7" l="1"/>
  <c r="AB35" i="7"/>
  <c r="AJ49" i="7" s="1"/>
  <c r="AJ47" i="7"/>
  <c r="AB37" i="7" s="1"/>
  <c r="AB38" i="7" s="1"/>
  <c r="F63" i="7"/>
  <c r="N63" i="7"/>
  <c r="F95" i="7"/>
  <c r="N95" i="7"/>
  <c r="N79" i="7"/>
  <c r="F79" i="7"/>
  <c r="F72" i="7"/>
  <c r="N71" i="7"/>
  <c r="F71" i="7"/>
  <c r="L73" i="7"/>
  <c r="N73" i="7" s="1"/>
  <c r="N70" i="7"/>
  <c r="F70" i="7"/>
  <c r="L103" i="7"/>
  <c r="L105" i="7" s="1"/>
  <c r="N102" i="7"/>
  <c r="F102" i="7"/>
  <c r="L87" i="7"/>
  <c r="L89" i="7" s="1"/>
  <c r="F86" i="7"/>
  <c r="N86" i="7"/>
  <c r="AY53" i="7"/>
  <c r="AY37" i="7"/>
  <c r="AY38" i="7" s="1"/>
  <c r="AY52" i="7"/>
  <c r="AY54" i="7"/>
  <c r="F104" i="7"/>
  <c r="N88" i="7"/>
  <c r="F88" i="7"/>
  <c r="E81" i="7" l="1"/>
  <c r="E64" i="7"/>
  <c r="AB25" i="7"/>
  <c r="E97" i="7"/>
  <c r="E80" i="7"/>
  <c r="E96" i="7"/>
  <c r="E65" i="7"/>
  <c r="L34" i="7"/>
  <c r="M34" i="7"/>
  <c r="L60" i="7"/>
  <c r="W61" i="7" s="1"/>
  <c r="L35" i="7"/>
  <c r="K64" i="7"/>
  <c r="K65" i="7"/>
  <c r="L64" i="7"/>
  <c r="K97" i="7"/>
  <c r="L96" i="7"/>
  <c r="L80" i="7"/>
  <c r="K81" i="7"/>
  <c r="K80" i="7"/>
  <c r="K96" i="7"/>
  <c r="AJ52" i="7"/>
  <c r="AJ54" i="7"/>
  <c r="Y62" i="7"/>
  <c r="N89" i="7"/>
  <c r="Y63" i="7"/>
  <c r="N105" i="7"/>
  <c r="N87" i="7"/>
  <c r="F87" i="7"/>
  <c r="N103" i="7"/>
  <c r="F103" i="7"/>
  <c r="Y61" i="7"/>
  <c r="N64" i="7" l="1"/>
  <c r="F64" i="7"/>
  <c r="L65" i="7"/>
  <c r="L81" i="7"/>
  <c r="N80" i="7"/>
  <c r="F80" i="7"/>
  <c r="I76" i="7"/>
  <c r="J76" i="7"/>
  <c r="W62" i="7" s="1"/>
  <c r="L97" i="7"/>
  <c r="F96" i="7"/>
  <c r="N96" i="7"/>
  <c r="M35" i="7"/>
  <c r="M38" i="7" s="1"/>
  <c r="AJ53" i="7"/>
  <c r="L92" i="7" l="1"/>
  <c r="W63" i="7" s="1"/>
  <c r="L83" i="7"/>
  <c r="N81" i="7"/>
  <c r="F81" i="7"/>
  <c r="L67" i="7"/>
  <c r="N65" i="7"/>
  <c r="F65" i="7"/>
  <c r="L99" i="7"/>
  <c r="F97" i="7"/>
  <c r="N97" i="7"/>
  <c r="N83" i="7" l="1"/>
  <c r="X62" i="7"/>
  <c r="N67" i="7"/>
  <c r="X61" i="7"/>
  <c r="X63" i="7"/>
  <c r="N9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0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0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0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000-000004000000}">
      <text>
        <r>
          <rPr>
            <sz val="8"/>
            <color indexed="81"/>
            <rFont val="Tahoma"/>
          </rPr>
          <t xml:space="preserve">
</t>
        </r>
        <r>
          <rPr>
            <b/>
            <sz val="8"/>
            <color indexed="81"/>
            <rFont val="Tahoma"/>
            <family val="2"/>
          </rPr>
          <t>IF MIXING BY WEIGHT IS APPLIED, TYPE 1
FOR VOLUMETRIC MIXING CLEAR CELL CONTENTS</t>
        </r>
      </text>
    </comment>
    <comment ref="C15" authorId="0" shapeId="0" xr:uid="{00000000-0006-0000-0000-000005000000}">
      <text>
        <r>
          <rPr>
            <b/>
            <sz val="8"/>
            <color indexed="81"/>
            <rFont val="Tahoma"/>
          </rPr>
          <t xml:space="preserve">
TO ASSESS DOWNSTREAM BENEFITS - TYPE 1 IN THIS CELL
TO ASSESS NEW PRODUCT TARGET PRICE - CLEAR CELL CONTENTS</t>
        </r>
      </text>
    </comment>
    <comment ref="AB22" authorId="0" shapeId="0" xr:uid="{00000000-0006-0000-0000-000006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
ALTERNATIVELY: ASSESS DIFFERENTIAL PERFORMANCE OF FIRST VALUE CHAIN STEP IN EVALUATION SHEET
</t>
        </r>
      </text>
    </comment>
    <comment ref="M24" authorId="0" shapeId="0" xr:uid="{00000000-0006-0000-0000-000007000000}">
      <text>
        <r>
          <rPr>
            <sz val="8"/>
            <color indexed="81"/>
            <rFont val="Tahoma"/>
          </rPr>
          <t xml:space="preserve">
REFERENCE SALES PRICE COULD BE OBTAINED FROM OUR CUSTOMER
ALTERNATIVELY - AS A FIRST PROXY - ONE CAN SET THE PRICE TO REFLECT A GIVEN MARGIN GENERATION OVER RAW MATERIAL COSTS</t>
        </r>
      </text>
    </comment>
    <comment ref="AB24" authorId="0" shapeId="0" xr:uid="{00000000-0006-0000-0000-000008000000}">
      <text>
        <r>
          <rPr>
            <sz val="8"/>
            <color indexed="81"/>
            <rFont val="Tahoma"/>
          </rPr>
          <t xml:space="preserve">
TARGET SALES PRICE CAN BE CHANGED SUCH THAT BENEFITS ARE SHARED BETWEEN CONVERTER AND DOWNSTREAM PLAYERS</t>
        </r>
      </text>
    </comment>
    <comment ref="AB27" authorId="0" shapeId="0" xr:uid="{00000000-0006-0000-0000-000009000000}">
      <text>
        <r>
          <rPr>
            <sz val="8"/>
            <color indexed="81"/>
            <rFont val="Tahoma"/>
          </rPr>
          <t xml:space="preserve">
FOR A PURE DOWNGAUGE CASE THIS INPUT SHOULD BE PUT AT 100%
REFERENCE is at 100%
120% means a 20% Performance credit
80% means a 20% Performance debit
EITHER PROVIDE A PRELIMINARY ESTIMATE OR USE THE PERFORMANCE EVALUATION SHEET TO QUANTIFY DIFFERENTIAL PERFORMANCE vs. REFERENCE ACROSS THE BUSINESS CHAIN.
WHEN THE PRIMARY BUSINESS CHAIN STEP IS QUANTIFIED USING THE EVALUATION SHEET (PRODUCTION CREDIT / DEBIT INPUT GIVEN ABOVE), THEN THE FIGURE IN THIS CELL SHOULD ONLY BE THAT FOR THE OTHER VALUE CHAIN STEP(S) (i.e. SECOND AND THIRD - IF A 3-STEP VALUE CHAIN IS MODELED)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A6" authorId="0" shapeId="0" xr:uid="{00000000-0006-0000-0100-000001000000}">
      <text>
        <r>
          <rPr>
            <b/>
            <sz val="8"/>
            <color indexed="81"/>
            <rFont val="Tahoma"/>
          </rPr>
          <t>DGVDSA1:</t>
        </r>
        <r>
          <rPr>
            <sz val="8"/>
            <color indexed="81"/>
            <rFont val="Tahoma"/>
          </rPr>
          <t xml:space="preserve">
SUM OF WEIGHTS OF ALL VALUE CHAIN STEPS HAS TO BE 100%</t>
        </r>
      </text>
    </comment>
    <comment ref="B7" authorId="0" shapeId="0" xr:uid="{00000000-0006-0000-0100-000002000000}">
      <text>
        <r>
          <rPr>
            <b/>
            <sz val="8"/>
            <color indexed="81"/>
            <rFont val="Tahoma"/>
          </rPr>
          <t>DGVDSA1:</t>
        </r>
        <r>
          <rPr>
            <sz val="8"/>
            <color indexed="81"/>
            <rFont val="Tahoma"/>
          </rPr>
          <t xml:space="preserve">
FIRST DEFINE KEY DEVELOPMENT PRIORITIES TO FACILITATE ATTRIBUTES PRIORITY SETTING</t>
        </r>
      </text>
    </comment>
    <comment ref="C7" authorId="0" shapeId="0" xr:uid="{00000000-0006-0000-0100-000003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7" authorId="0" shapeId="0" xr:uid="{00000000-0006-0000-0100-000004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7" authorId="0" shapeId="0" xr:uid="{00000000-0006-0000-0100-000005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7" authorId="0" shapeId="0" xr:uid="{00000000-0006-0000-0100-000006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18" authorId="0" shapeId="0" xr:uid="{00000000-0006-0000-0100-000007000000}">
      <text>
        <r>
          <rPr>
            <b/>
            <sz val="8"/>
            <color indexed="81"/>
            <rFont val="Tahoma"/>
          </rPr>
          <t>DGVDSA1:</t>
        </r>
        <r>
          <rPr>
            <sz val="8"/>
            <color indexed="81"/>
            <rFont val="Tahoma"/>
          </rPr>
          <t xml:space="preserve">
SUM OF WEIGHTS OF ALL VALUE CHAIN STEPS HAS TO BE 100%</t>
        </r>
      </text>
    </comment>
    <comment ref="B19" authorId="0" shapeId="0" xr:uid="{00000000-0006-0000-0100-000008000000}">
      <text>
        <r>
          <rPr>
            <b/>
            <sz val="8"/>
            <color indexed="81"/>
            <rFont val="Tahoma"/>
          </rPr>
          <t>DGVDSA1:</t>
        </r>
        <r>
          <rPr>
            <sz val="8"/>
            <color indexed="81"/>
            <rFont val="Tahoma"/>
          </rPr>
          <t xml:space="preserve">
DEFINE KEY DEVELOPMENT PRIORITIES TO FACILITATE ATTRIBUTES PRIORITY SETTING</t>
        </r>
      </text>
    </comment>
    <comment ref="C19" authorId="0" shapeId="0" xr:uid="{00000000-0006-0000-0100-000009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19" authorId="0" shapeId="0" xr:uid="{00000000-0006-0000-0100-00000A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19" authorId="0" shapeId="0" xr:uid="{00000000-0006-0000-0100-00000B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19" authorId="0" shapeId="0" xr:uid="{00000000-0006-0000-0100-00000C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30" authorId="0" shapeId="0" xr:uid="{00000000-0006-0000-0100-00000D000000}">
      <text>
        <r>
          <rPr>
            <b/>
            <sz val="8"/>
            <color indexed="81"/>
            <rFont val="Tahoma"/>
          </rPr>
          <t>DGVDSA1:</t>
        </r>
        <r>
          <rPr>
            <sz val="8"/>
            <color indexed="81"/>
            <rFont val="Tahoma"/>
          </rPr>
          <t xml:space="preserve">
SUM OF WEIGHTS OF ALL VALUE CHAIN STEPS HAS TO BE 100%</t>
        </r>
      </text>
    </comment>
    <comment ref="B31" authorId="0" shapeId="0" xr:uid="{00000000-0006-0000-0100-00000E000000}">
      <text>
        <r>
          <rPr>
            <b/>
            <sz val="8"/>
            <color indexed="81"/>
            <rFont val="Tahoma"/>
          </rPr>
          <t>DGVDSA1:</t>
        </r>
        <r>
          <rPr>
            <sz val="8"/>
            <color indexed="81"/>
            <rFont val="Tahoma"/>
          </rPr>
          <t xml:space="preserve">
DEFINE KEY DEVELOPMENT PRIORITIES TO FACILITATE ATTRIBUTES PRIORITY SETTING</t>
        </r>
      </text>
    </comment>
    <comment ref="C31" authorId="0" shapeId="0" xr:uid="{00000000-0006-0000-0100-00000F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31" authorId="0" shapeId="0" xr:uid="{00000000-0006-0000-0100-000010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31" authorId="0" shapeId="0" xr:uid="{00000000-0006-0000-0100-000011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31" authorId="0" shapeId="0" xr:uid="{00000000-0006-0000-0100-000012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I47" authorId="0" shapeId="0" xr:uid="{00000000-0006-0000-0100-000013000000}">
      <text>
        <r>
          <rPr>
            <b/>
            <sz val="8"/>
            <color indexed="81"/>
            <rFont val="Tahoma"/>
          </rPr>
          <t xml:space="preserve">DGVDSA1:
VALUE TO USE AS "PERFORMANCE vs. REFERENCE" IN CALCULATION SHEET FOR FULL-VALUE CHAIN ANALYSIS
</t>
        </r>
      </text>
    </comment>
    <comment ref="J47" authorId="0" shapeId="0" xr:uid="{00000000-0006-0000-0100-000014000000}">
      <text>
        <r>
          <rPr>
            <b/>
            <sz val="8"/>
            <color indexed="81"/>
            <rFont val="Tahoma"/>
          </rPr>
          <t>DGVDSA1:</t>
        </r>
        <r>
          <rPr>
            <sz val="8"/>
            <color indexed="81"/>
            <rFont val="Tahoma"/>
          </rPr>
          <t xml:space="preserve">
VALUE TO USE AS "PERFORMANCE vs. REFERENCE" IN CALCULATION SHEET FOR FULL-VALUE CHAIN ANALYSIS
</t>
        </r>
      </text>
    </comment>
    <comment ref="K47" authorId="0" shapeId="0" xr:uid="{00000000-0006-0000-0100-000015000000}">
      <text>
        <r>
          <rPr>
            <b/>
            <sz val="8"/>
            <color indexed="81"/>
            <rFont val="Tahoma"/>
          </rPr>
          <t xml:space="preserve">DGVDSA1:
VALUE TO USE AS "PERFORMANCE vs. REFERENCE" IN CALCULATION SHEET FOR FULL-VALUE CHAIN ANALYSIS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2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2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2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200-000004000000}">
      <text>
        <r>
          <rPr>
            <sz val="8"/>
            <color indexed="81"/>
            <rFont val="Tahoma"/>
          </rPr>
          <t xml:space="preserve">
</t>
        </r>
        <r>
          <rPr>
            <b/>
            <sz val="8"/>
            <color indexed="81"/>
            <rFont val="Tahoma"/>
            <family val="2"/>
          </rPr>
          <t>IF MIXING BY WEIGHT IS APPLIED, TYPE 1
FOR VOLUMETRIC MIXING CLEAR CELL CONTENTS</t>
        </r>
      </text>
    </comment>
    <comment ref="C15" authorId="0" shapeId="0" xr:uid="{00000000-0006-0000-0200-000005000000}">
      <text>
        <r>
          <rPr>
            <b/>
            <sz val="8"/>
            <color indexed="81"/>
            <rFont val="Tahoma"/>
          </rPr>
          <t xml:space="preserve">
TO ASSESS DOWNSTREAM BENEFITS - TYPE 1 IN THIS CELL
TO ASSESS NEW PRODUCT TARGET PRICE - CLEAR CELL CONTENTS</t>
        </r>
      </text>
    </comment>
    <comment ref="AB22" authorId="0" shapeId="0" xr:uid="{00000000-0006-0000-0200-000006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
ALTERNATIVELY: ASSESS DIFFERENTIAL PERFORMANCE OF FIRST VALUE CHAIN STEP IN EVALUATION SHEET
</t>
        </r>
      </text>
    </comment>
    <comment ref="M24" authorId="0" shapeId="0" xr:uid="{00000000-0006-0000-0200-000007000000}">
      <text>
        <r>
          <rPr>
            <sz val="8"/>
            <color indexed="81"/>
            <rFont val="Tahoma"/>
          </rPr>
          <t xml:space="preserve">
REFERENCE SALES PRICE COULD BE OBTAINED FROM OUR CUSTOMER
ALTERNATIVELY - AS A FIRST PROXY - ONE CAN SET THE PRICE TO REFLECT A GIVEN MARGIN GENERATION OVER RAW MATERIAL COSTS</t>
        </r>
      </text>
    </comment>
    <comment ref="AB24" authorId="0" shapeId="0" xr:uid="{00000000-0006-0000-0200-000008000000}">
      <text>
        <r>
          <rPr>
            <sz val="8"/>
            <color indexed="81"/>
            <rFont val="Tahoma"/>
          </rPr>
          <t xml:space="preserve">
TARGET SALES PRICE CAN BE CHANGED SUCH THAT BENEFITS ARE SHARED BETWEEN CONVERTER AND DOWNSTREAM PLAYERS</t>
        </r>
      </text>
    </comment>
    <comment ref="AB27" authorId="0" shapeId="0" xr:uid="{00000000-0006-0000-0200-000009000000}">
      <text>
        <r>
          <rPr>
            <sz val="8"/>
            <color indexed="81"/>
            <rFont val="Tahoma"/>
          </rPr>
          <t xml:space="preserve">
FOR A PURE DOWNGAUGE CASE THIS INPUT SHOULD BE PUT AT 100%
REFERENCE is at 100%
120% means a 20% Performance credit
80% means a 20% Performance debit
EITHER PROVIDE A PRELIMINARY ESTIMATE OR USE THE PERFORMANCE EVALUATION SHEET TO QUANTIFY DIFFERENTIAL PERFORMANCE vs. REFERENCE ACROSS THE BUSINESS CHAIN.
WHEN THE PRIMARY BUSINESS CHAIN STEP IS QUANTIFIED USING THE EVALUATION SHEET (PRODUCTION CREDIT / DEBIT INPUT GIVEN ABOVE), THEN THE FIGURE IN THIS CELL SHOULD ONLY BE THAT FOR THE OTHER VALUE CHAIN STEP(S) (i.e. SECOND AND THIRD - IF A 3-STEP VALUE CHAIN IS MODELED)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3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3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3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300-000004000000}">
      <text>
        <r>
          <rPr>
            <sz val="8"/>
            <color indexed="81"/>
            <rFont val="Tahoma"/>
          </rPr>
          <t xml:space="preserve">
</t>
        </r>
        <r>
          <rPr>
            <b/>
            <sz val="8"/>
            <color indexed="81"/>
            <rFont val="Tahoma"/>
            <family val="2"/>
          </rPr>
          <t>IF MIXING BY WEIGHT IS APPLIED, TYPE 1
FOR VOLUMETRIC MIXING CLEAR CELL CONTENTS</t>
        </r>
      </text>
    </comment>
    <comment ref="C15" authorId="0" shapeId="0" xr:uid="{00000000-0006-0000-0300-000005000000}">
      <text>
        <r>
          <rPr>
            <b/>
            <sz val="8"/>
            <color indexed="81"/>
            <rFont val="Tahoma"/>
          </rPr>
          <t xml:space="preserve">
TO ASSESS DOWNSTREAM BENEFITS - TYPE 1 IN THIS CELL
TO ASSESS NEW PRODUCT TARGET PRICE - CLEAR CELL CONTENTS</t>
        </r>
      </text>
    </comment>
    <comment ref="AB22" authorId="0" shapeId="0" xr:uid="{00000000-0006-0000-0300-000006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
ALTERNATIVELY: ASSESS DIFFERENTIAL PERFORMANCE OF FIRST VALUE CHAIN STEP IN EVALUATION SHEET
</t>
        </r>
      </text>
    </comment>
    <comment ref="M24" authorId="0" shapeId="0" xr:uid="{00000000-0006-0000-0300-000007000000}">
      <text>
        <r>
          <rPr>
            <sz val="8"/>
            <color indexed="81"/>
            <rFont val="Tahoma"/>
          </rPr>
          <t xml:space="preserve">
REFERENCE SALES PRICE COULD BE OBTAINED FROM OUR CUSTOMER
ALTERNATIVELY - AS A FIRST PROXY - ONE CAN SET THE PRICE TO REFLECT A GIVEN MARGIN GENERATION OVER RAW MATERIAL COSTS</t>
        </r>
      </text>
    </comment>
    <comment ref="AB24" authorId="0" shapeId="0" xr:uid="{00000000-0006-0000-0300-000008000000}">
      <text>
        <r>
          <rPr>
            <sz val="8"/>
            <color indexed="81"/>
            <rFont val="Tahoma"/>
          </rPr>
          <t xml:space="preserve">
TARGET SALES PRICE CAN BE CHANGED SUCH THAT BENEFITS ARE SHARED BETWEEN CONVERTER AND DOWNSTREAM PLAYERS</t>
        </r>
      </text>
    </comment>
    <comment ref="AB27" authorId="0" shapeId="0" xr:uid="{00000000-0006-0000-0300-000009000000}">
      <text>
        <r>
          <rPr>
            <sz val="8"/>
            <color indexed="81"/>
            <rFont val="Tahoma"/>
          </rPr>
          <t xml:space="preserve">
FOR A PURE DOWNGAUGE CASE THIS INPUT SHOULD BE PUT AT 100%
REFERENCE is at 100%
120% means a 20% Performance credit
80% means a 20% Performance debit
EITHER PROVIDE A PRELIMINARY ESTIMATE OR USE THE PERFORMANCE EVALUATION SHEET TO QUANTIFY DIFFERENTIAL PERFORMANCE vs. REFERENCE ACROSS THE BUSINESS CHAIN.
WHEN THE PRIMARY BUSINESS CHAIN STEP IS QUANTIFIED USING THE EVALUATION SHEET (PRODUCTION CREDIT / DEBIT INPUT GIVEN ABOVE), THEN THE FIGURE IN THIS CELL SHOULD ONLY BE THAT FOR THE OTHER VALUE CHAIN STEP(S) (i.e. SECOND AND THIRD - IF A 3-STEP VALUE CHAIN IS MODELED)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A6" authorId="0" shapeId="0" xr:uid="{00000000-0006-0000-0400-000001000000}">
      <text>
        <r>
          <rPr>
            <b/>
            <sz val="8"/>
            <color indexed="81"/>
            <rFont val="Tahoma"/>
          </rPr>
          <t>DGVDSA1:</t>
        </r>
        <r>
          <rPr>
            <sz val="8"/>
            <color indexed="81"/>
            <rFont val="Tahoma"/>
          </rPr>
          <t xml:space="preserve">
SUM OF WEIGHTS OF ALL VALUE CHAIN STEPS HAS TO BE 100%</t>
        </r>
      </text>
    </comment>
    <comment ref="B7" authorId="0" shapeId="0" xr:uid="{00000000-0006-0000-0400-000002000000}">
      <text>
        <r>
          <rPr>
            <b/>
            <sz val="8"/>
            <color indexed="81"/>
            <rFont val="Tahoma"/>
          </rPr>
          <t>DGVDSA1:</t>
        </r>
        <r>
          <rPr>
            <sz val="8"/>
            <color indexed="81"/>
            <rFont val="Tahoma"/>
          </rPr>
          <t xml:space="preserve">
FIRST DEFINE KEY DEVELOPMENT PRIORITIES TO FACILITATE ATTRIBUTES PRIORITY SETTING</t>
        </r>
      </text>
    </comment>
    <comment ref="C7" authorId="0" shapeId="0" xr:uid="{00000000-0006-0000-0400-000003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7" authorId="0" shapeId="0" xr:uid="{00000000-0006-0000-0400-000004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7" authorId="0" shapeId="0" xr:uid="{00000000-0006-0000-0400-000005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7" authorId="0" shapeId="0" xr:uid="{00000000-0006-0000-0400-000006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18" authorId="0" shapeId="0" xr:uid="{00000000-0006-0000-0400-000007000000}">
      <text>
        <r>
          <rPr>
            <b/>
            <sz val="8"/>
            <color indexed="81"/>
            <rFont val="Tahoma"/>
          </rPr>
          <t>DGVDSA1:</t>
        </r>
        <r>
          <rPr>
            <sz val="8"/>
            <color indexed="81"/>
            <rFont val="Tahoma"/>
          </rPr>
          <t xml:space="preserve">
SUM OF WEIGHTS OF ALL VALUE CHAIN STEPS HAS TO BE 100%</t>
        </r>
      </text>
    </comment>
    <comment ref="B19" authorId="0" shapeId="0" xr:uid="{00000000-0006-0000-0400-000008000000}">
      <text>
        <r>
          <rPr>
            <b/>
            <sz val="8"/>
            <color indexed="81"/>
            <rFont val="Tahoma"/>
          </rPr>
          <t>DGVDSA1:</t>
        </r>
        <r>
          <rPr>
            <sz val="8"/>
            <color indexed="81"/>
            <rFont val="Tahoma"/>
          </rPr>
          <t xml:space="preserve">
DEFINE KEY DEVELOPMENT PRIORITIES TO FACILITATE ATTRIBUTES PRIORITY SETTING</t>
        </r>
      </text>
    </comment>
    <comment ref="C19" authorId="0" shapeId="0" xr:uid="{00000000-0006-0000-0400-000009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19" authorId="0" shapeId="0" xr:uid="{00000000-0006-0000-0400-00000A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19" authorId="0" shapeId="0" xr:uid="{00000000-0006-0000-0400-00000B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19" authorId="0" shapeId="0" xr:uid="{00000000-0006-0000-0400-00000C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30" authorId="0" shapeId="0" xr:uid="{00000000-0006-0000-0400-00000D000000}">
      <text>
        <r>
          <rPr>
            <b/>
            <sz val="8"/>
            <color indexed="81"/>
            <rFont val="Tahoma"/>
          </rPr>
          <t>DGVDSA1:</t>
        </r>
        <r>
          <rPr>
            <sz val="8"/>
            <color indexed="81"/>
            <rFont val="Tahoma"/>
          </rPr>
          <t xml:space="preserve">
SUM OF WEIGHTS OF ALL VALUE CHAIN STEPS HAS TO BE 100%</t>
        </r>
      </text>
    </comment>
    <comment ref="B31" authorId="0" shapeId="0" xr:uid="{00000000-0006-0000-0400-00000E000000}">
      <text>
        <r>
          <rPr>
            <b/>
            <sz val="8"/>
            <color indexed="81"/>
            <rFont val="Tahoma"/>
          </rPr>
          <t>DGVDSA1:</t>
        </r>
        <r>
          <rPr>
            <sz val="8"/>
            <color indexed="81"/>
            <rFont val="Tahoma"/>
          </rPr>
          <t xml:space="preserve">
DEFINE KEY DEVELOPMENT PRIORITIES TO FACILITATE ATTRIBUTES PRIORITY SETTING</t>
        </r>
      </text>
    </comment>
    <comment ref="C31" authorId="0" shapeId="0" xr:uid="{00000000-0006-0000-0400-00000F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31" authorId="0" shapeId="0" xr:uid="{00000000-0006-0000-0400-000010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31" authorId="0" shapeId="0" xr:uid="{00000000-0006-0000-0400-000011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31" authorId="0" shapeId="0" xr:uid="{00000000-0006-0000-0400-000012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I47" authorId="0" shapeId="0" xr:uid="{00000000-0006-0000-0400-000013000000}">
      <text>
        <r>
          <rPr>
            <b/>
            <sz val="8"/>
            <color indexed="81"/>
            <rFont val="Tahoma"/>
          </rPr>
          <t xml:space="preserve">DGVDSA1:
VALUE TO USE AS "PERFORMANCE vs. REFERENCE" IN CALCULATION SHEET FOR FULL-VALUE CHAIN ANALYSIS
</t>
        </r>
      </text>
    </comment>
    <comment ref="J47" authorId="0" shapeId="0" xr:uid="{00000000-0006-0000-0400-000014000000}">
      <text>
        <r>
          <rPr>
            <b/>
            <sz val="8"/>
            <color indexed="81"/>
            <rFont val="Tahoma"/>
          </rPr>
          <t>DGVDSA1:</t>
        </r>
        <r>
          <rPr>
            <sz val="8"/>
            <color indexed="81"/>
            <rFont val="Tahoma"/>
          </rPr>
          <t xml:space="preserve">
VALUE TO USE AS "PERFORMANCE vs. REFERENCE" IN CALCULATION SHEET FOR FULL-VALUE CHAIN ANALYSIS
</t>
        </r>
      </text>
    </comment>
    <comment ref="K47" authorId="0" shapeId="0" xr:uid="{00000000-0006-0000-0400-000015000000}">
      <text>
        <r>
          <rPr>
            <b/>
            <sz val="8"/>
            <color indexed="81"/>
            <rFont val="Tahoma"/>
          </rPr>
          <t xml:space="preserve">DGVDSA1:
VALUE TO USE AS "PERFORMANCE vs. REFERENCE" IN CALCULATION SHEET FOR FULL-VALUE CHAIN ANALYSIS
</t>
        </r>
      </text>
    </comment>
  </commentList>
</comments>
</file>

<file path=xl/sharedStrings.xml><?xml version="1.0" encoding="utf-8"?>
<sst xmlns="http://schemas.openxmlformats.org/spreadsheetml/2006/main" count="875" uniqueCount="197">
  <si>
    <t>CURRENCY UNIT</t>
  </si>
  <si>
    <t>NEW PRODUCT NAME</t>
  </si>
  <si>
    <t>LAYERS</t>
  </si>
  <si>
    <t>W. FACTOR</t>
  </si>
  <si>
    <t>UNIT COST</t>
  </si>
  <si>
    <t>KG</t>
  </si>
  <si>
    <t>LB</t>
  </si>
  <si>
    <t>NOT USED</t>
  </si>
  <si>
    <t>OPEN</t>
  </si>
  <si>
    <t>TON</t>
  </si>
  <si>
    <t>sq IN</t>
  </si>
  <si>
    <t>LB / running ft</t>
  </si>
  <si>
    <t>running ft</t>
  </si>
  <si>
    <t>IN</t>
  </si>
  <si>
    <t>LB / sq ft</t>
  </si>
  <si>
    <t>sq ft</t>
  </si>
  <si>
    <t>GAL</t>
  </si>
  <si>
    <t>LB / GAL</t>
  </si>
  <si>
    <t>PRICES</t>
  </si>
  <si>
    <t>DENSITY</t>
  </si>
  <si>
    <t>sq MIL</t>
  </si>
  <si>
    <t>MIL</t>
  </si>
  <si>
    <t>sq MM</t>
  </si>
  <si>
    <t>LB / running m</t>
  </si>
  <si>
    <t>running m</t>
  </si>
  <si>
    <t>MM</t>
  </si>
  <si>
    <t>LB / sq m</t>
  </si>
  <si>
    <t>sq m</t>
  </si>
  <si>
    <t>LITER</t>
  </si>
  <si>
    <t>LB/ L</t>
  </si>
  <si>
    <t>L</t>
  </si>
  <si>
    <t>sq MICRON</t>
  </si>
  <si>
    <t>MICRON</t>
  </si>
  <si>
    <t>KG or TON</t>
  </si>
  <si>
    <t>KG / running ft</t>
  </si>
  <si>
    <t>KG / sq ft</t>
  </si>
  <si>
    <t>KG / GAL</t>
  </si>
  <si>
    <t>micron</t>
  </si>
  <si>
    <t>sq micron</t>
  </si>
  <si>
    <t>liter</t>
  </si>
  <si>
    <t>mm</t>
  </si>
  <si>
    <t>sq mm</t>
  </si>
  <si>
    <t>KG / running m</t>
  </si>
  <si>
    <t>gallon</t>
  </si>
  <si>
    <t>KG / sq m</t>
  </si>
  <si>
    <t>In</t>
  </si>
  <si>
    <t>sq In</t>
  </si>
  <si>
    <t>KG / L</t>
  </si>
  <si>
    <t>100% of VC</t>
  </si>
  <si>
    <t>50% of VC</t>
  </si>
  <si>
    <t>0% of VC</t>
  </si>
  <si>
    <t>KT</t>
  </si>
  <si>
    <t>MLB</t>
  </si>
  <si>
    <t>DAYS</t>
  </si>
  <si>
    <t>STOCK HOLDING</t>
  </si>
  <si>
    <t>RAW MATERIAL COSTS</t>
  </si>
  <si>
    <t>STOCK HOLDING COSTS</t>
  </si>
  <si>
    <t>REVENUE</t>
  </si>
  <si>
    <t>PRODUCTION CREDIT / DEBIT (REF = 100%)</t>
  </si>
  <si>
    <t>REFERENCE</t>
  </si>
  <si>
    <t>LOGISTICS COSTS</t>
  </si>
  <si>
    <t>OUTPUT SECTION</t>
  </si>
  <si>
    <t>INPUT SECTION</t>
  </si>
  <si>
    <t>THIS VALUE SHOULD BE USED AS "X VALUE CHAIN PERFORMANCE vs. REFERENCE" IN CALCULATION SHEET</t>
  </si>
  <si>
    <t>density</t>
  </si>
  <si>
    <t>EXTRA VALUE CREATED ON TOP OF DOWNGAUGING</t>
  </si>
  <si>
    <t>VALUE OF X BUSINESS CHAIN PERFORMANCE</t>
  </si>
  <si>
    <t>CONVERTER TARGET SALES PRICE</t>
  </si>
  <si>
    <t>TARGET SALES PRICE =</t>
  </si>
  <si>
    <t>CONVERTER SELLS @ TARGET PRICE</t>
  </si>
  <si>
    <t>MIX BY WEIGHT</t>
  </si>
  <si>
    <t>B22:F25</t>
  </si>
  <si>
    <t>B8:B10</t>
  </si>
  <si>
    <t>AI5</t>
  </si>
  <si>
    <t>WEIGHT/UNIT</t>
  </si>
  <si>
    <t>TARGET PRICE DEFINITION</t>
  </si>
  <si>
    <t>COST OF UNITS BOUGHT</t>
  </si>
  <si>
    <t>TOTAL</t>
  </si>
  <si>
    <t>100% VC</t>
  </si>
  <si>
    <t>50% VC</t>
  </si>
  <si>
    <t>0% VC</t>
  </si>
  <si>
    <t>RMC</t>
  </si>
  <si>
    <t>VC</t>
  </si>
  <si>
    <t>KG / 1000 sq m</t>
  </si>
  <si>
    <t>KG / 1000 sq ft</t>
  </si>
  <si>
    <t>KG / 1000 running ft</t>
  </si>
  <si>
    <t>LB / 1000 sq m</t>
  </si>
  <si>
    <t>LB / 1000 running m</t>
  </si>
  <si>
    <t>LB / 1000 sq ft</t>
  </si>
  <si>
    <t>LB / 1000 running ft</t>
  </si>
  <si>
    <t>KG / 1000 running m</t>
  </si>
  <si>
    <t>RATIO : SALES PRICE to RAW MATERIAL COST</t>
  </si>
  <si>
    <t>LB / 1000 GAL</t>
  </si>
  <si>
    <t>LB/ 1000 L</t>
  </si>
  <si>
    <t>KG / 1000 GAL</t>
  </si>
  <si>
    <t>KG / 1000 L</t>
  </si>
  <si>
    <t>SALES PRICE =</t>
  </si>
  <si>
    <t>$</t>
  </si>
  <si>
    <t>INPUTS TO BE MADE IN WHITE FIELDS OF INPUT SECTION</t>
  </si>
  <si>
    <t>CMI</t>
  </si>
  <si>
    <t>THIS "Value-in-Use" (ViU) TOOL IS SOLELY FOR INTERNAL USE TO EXXONMOBIL CHEMICAL (EMCC) TO SUPPORT TRAININGS, BUSINESS AND MARKET ASSESSMENTS OR ANY OTHER PRE MARKET ENTRY ACTIVITIES.
ANY USE OF THIS TOOL OUTSIDE OF EMCC IS PROHIBITED.
ALL ViU DISCUSSIONS WITH CUSTOMERS ARE TO BE BASED ON THE LATEST VERSION OF THE SEPARATE "EMCC-PE ViU CALCULATOR"  OF WHICH COPIES IN ANY FORM CAN BE LEFT WITH THE CUSTOMER (I.E. PAPER, PDF OR EXCEL FORMAT).</t>
  </si>
  <si>
    <t>OTHER COSTS (VARIABLE &amp; FIXED) : UNKNOWN &amp; ASSUMED UNCHANGED</t>
  </si>
  <si>
    <t xml:space="preserve">DOWNSTREAM </t>
  </si>
  <si>
    <t>EXAMPLE #1: DOWNGAUGING CASE - MD SACKS - CONVENTIONAL FILLING EFFICIENCY</t>
  </si>
  <si>
    <t>C6LL</t>
  </si>
  <si>
    <t>HDPE</t>
  </si>
  <si>
    <t>EXCEED 1018</t>
  </si>
  <si>
    <t>ENABLE 2005</t>
  </si>
  <si>
    <t>CASE TITLE</t>
  </si>
  <si>
    <t>PERFORMANCE in FIRST VALUE CHAIN STEP (e.g. FILM PRODUCTION)</t>
  </si>
  <si>
    <t>&lt;= WEIGHT (VALUE) FIRST STEP (%)</t>
  </si>
  <si>
    <t>DRIVER / FUNCTIONALITY</t>
  </si>
  <si>
    <t>ATTRIBUTE</t>
  </si>
  <si>
    <t>IMPORTANCE</t>
  </si>
  <si>
    <t>UNIT</t>
  </si>
  <si>
    <t>MINIMUM</t>
  </si>
  <si>
    <t>MAXIMUM</t>
  </si>
  <si>
    <t>EMC ALT. #1</t>
  </si>
  <si>
    <t>EMC ALT. #2</t>
  </si>
  <si>
    <t>EMC ALT. #3</t>
  </si>
  <si>
    <t>MATCH NBA PERFORMANCE</t>
  </si>
  <si>
    <t>INPUT</t>
  </si>
  <si>
    <t>MAXIMIZE PRODUCTION RATES</t>
  </si>
  <si>
    <t>IMPROVE OPERATIONAL STABILITY</t>
  </si>
  <si>
    <t>SIMPLIFY SOURCING / FORMULATIONS</t>
  </si>
  <si>
    <t>IMPROVE PRODUCTION FLEXIBILITY</t>
  </si>
  <si>
    <t>OPTIMIZE STOCK MANAGEMENT</t>
  </si>
  <si>
    <t>REDUCE RAW MATERIAL COSTS</t>
  </si>
  <si>
    <t>REDUCE SUPPLY CHAIN COSTS</t>
  </si>
  <si>
    <t>IMPROVE SUPPLY CHAIN EFFICIENCY</t>
  </si>
  <si>
    <t>PERFORMANCE in SECOND VALUE CHAIN STEP (e.g. FFS PACKAGING)</t>
  </si>
  <si>
    <t>&lt;= WEIGHT (VALUE) SECOND STEP (%)</t>
  </si>
  <si>
    <t>REDUCE PACKAGE THICKNESS</t>
  </si>
  <si>
    <t>IMPROVE PACKAGING LINE SPEED</t>
  </si>
  <si>
    <t>REDUCE LEAKERS</t>
  </si>
  <si>
    <t>IMPROVE PACKAGE INTEGRITY</t>
  </si>
  <si>
    <t>IMPROVE PACKAGE STABILITY</t>
  </si>
  <si>
    <t>IMPROVE DISPLAYABILITY</t>
  </si>
  <si>
    <t>IMPROVE CONVENIENCE</t>
  </si>
  <si>
    <t>IMPROVE SHELF LIFE</t>
  </si>
  <si>
    <t>IMPROVE SUSTAINABILITY</t>
  </si>
  <si>
    <t>OTHER (SPECIFY IN ATTRIBUTE COLUMN)</t>
  </si>
  <si>
    <t>PERFORMANCE in THIRD VALUE CHAIN STEP (e.g. RETAIL &amp; END-USE REQUIREMENTS)</t>
  </si>
  <si>
    <t>&lt;= WEIGHT (VALUE) THIRD STEP (%)</t>
  </si>
  <si>
    <r>
      <t>Ý</t>
    </r>
    <r>
      <rPr>
        <b/>
        <sz val="12"/>
        <color indexed="9"/>
        <rFont val="Arial Narrow"/>
        <family val="2"/>
      </rPr>
      <t xml:space="preserve"> INPUTS ONLY TO BE MADE IN WHITE FIELDS OF INPUT SECTION</t>
    </r>
    <r>
      <rPr>
        <b/>
        <sz val="12"/>
        <color indexed="9"/>
        <rFont val="Symbol"/>
        <family val="1"/>
        <charset val="2"/>
      </rPr>
      <t xml:space="preserve"> Ý</t>
    </r>
  </si>
  <si>
    <t>OUTPUT</t>
  </si>
  <si>
    <t>VALUE CHAIN PERFORMANCE vs. REFERENCE</t>
  </si>
  <si>
    <t>FIRST VALUE CHAIN STEP</t>
  </si>
  <si>
    <t>SECOND VALUE CHAIN STEP</t>
  </si>
  <si>
    <t>THIRD VALUE CHAIN STEP</t>
  </si>
  <si>
    <t>X VALUE CHAIN PERFORMANCE</t>
  </si>
  <si>
    <t>FIRST + SECOND</t>
  </si>
  <si>
    <t>SECOND + THIRD-USE</t>
  </si>
  <si>
    <r>
      <t>ß</t>
    </r>
    <r>
      <rPr>
        <b/>
        <sz val="12"/>
        <color indexed="9"/>
        <rFont val="Arial Narrow"/>
        <family val="2"/>
      </rPr>
      <t xml:space="preserve">     CALCULATION DETAILS    </t>
    </r>
    <r>
      <rPr>
        <b/>
        <sz val="12"/>
        <color indexed="9"/>
        <rFont val="Symbol"/>
        <family val="1"/>
        <charset val="2"/>
      </rPr>
      <t xml:space="preserve"> </t>
    </r>
    <r>
      <rPr>
        <b/>
        <sz val="12"/>
        <color indexed="9"/>
        <rFont val="Symbol"/>
        <charset val="2"/>
      </rPr>
      <t>ß</t>
    </r>
  </si>
  <si>
    <t>CALCULATION &amp; INPUT CHECK RANGE</t>
  </si>
  <si>
    <t>PERFORMANCE</t>
  </si>
  <si>
    <t>PERFORMANCE ASSESSMENT</t>
  </si>
  <si>
    <t>EXAMPLE #2: DOWNGAUGING &amp; PERFORMANCE IMPROVEMENT CASE - COLLATION SHRINK - BOTTLES DISPLAY</t>
  </si>
  <si>
    <t>COEX LDr Ref</t>
  </si>
  <si>
    <t>ENABLE mPE alt.</t>
  </si>
  <si>
    <t>BUBBLE STABILITY</t>
  </si>
  <si>
    <t>-</t>
  </si>
  <si>
    <t>THICKNESS DISTRIBUTION</t>
  </si>
  <si>
    <t>%</t>
  </si>
  <si>
    <t>MOTOR LOAD</t>
  </si>
  <si>
    <t>PRESSURE</t>
  </si>
  <si>
    <t>BAR</t>
  </si>
  <si>
    <t>CUTTING</t>
  </si>
  <si>
    <t>#KNIFE CHANGES/MONTH</t>
  </si>
  <si>
    <t>STATIC ELECTRICITY</t>
  </si>
  <si>
    <t>HOLE FORMATION RESISTANCE</t>
  </si>
  <si>
    <t># OF HOLES</t>
  </si>
  <si>
    <t>OVEN TEMPERATURE</t>
  </si>
  <si>
    <t>deg C</t>
  </si>
  <si>
    <t>BULL'S EYE SHAPE</t>
  </si>
  <si>
    <t>WRINKLES</t>
  </si>
  <si>
    <t>HOLDING FORCE</t>
  </si>
  <si>
    <t>N/15mm</t>
  </si>
  <si>
    <t>PUNCTURE RESISTANCE</t>
  </si>
  <si>
    <t>N</t>
  </si>
  <si>
    <t>FILM THICKNESS</t>
  </si>
  <si>
    <t>GLOSS</t>
  </si>
  <si>
    <t>LD171BA</t>
  </si>
  <si>
    <t>LL1201KG</t>
  </si>
  <si>
    <t>HTA108</t>
  </si>
  <si>
    <t>LD165BW1</t>
  </si>
  <si>
    <t>NX2565</t>
  </si>
  <si>
    <t>EXCEED 1327</t>
  </si>
  <si>
    <t>ENABLE 3505</t>
  </si>
  <si>
    <t>ALTERNATIVE</t>
  </si>
  <si>
    <t>THIS "Value-in-Use" (ViU) TOOL IS SOLELY FOR INTERNAL USE TO EXXONMOBIL CHEMICAL (EMCC) TO SUPPORT TRAININGS, BUSINESS AND MARKET ASSESSMENTS OR ANY OTHER PRE MARKET ENTRY ACTIVITIES.
ANY USE OF THIS TOOL OUTSIDE OF EMCC IS PROHIBITED.
ALL ViU CUSTOMER DISCUSSIONS ARE TO BE BASED ON THE LATEST VERSION OF THE SEPARATE "EMCC-PE ViU CALCULATOR"  OF WHICH COPIES IN ANY FORM CAN BE LEFT WITH THE CUSTOMER (I.E. PAPER, PDF OR EXCEL FORMAT).</t>
  </si>
  <si>
    <t>USD</t>
  </si>
  <si>
    <t>Exceed XP</t>
  </si>
  <si>
    <t>Enable 2005</t>
  </si>
  <si>
    <t>Exceed 1018</t>
  </si>
  <si>
    <t>Exceed 1012</t>
  </si>
  <si>
    <t>Exceed 3518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</si>
</sst>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0.0000"/>
    <numFmt numFmtId="166" formatCode="0.0%"/>
    <numFmt numFmtId="167" formatCode="0.000"/>
  </numFmts>
  <fonts count="35" x14ac:knownFonts="1">
    <font>
      <sz val="10"/>
      <name val="Arial"/>
    </font>
    <font>
      <sz val="10"/>
      <name val="Arial"/>
    </font>
    <font>
      <sz val="10"/>
      <name val="Arial"/>
      <family val="2"/>
    </font>
    <font>
      <sz val="8"/>
      <name val="Arial Narrow"/>
      <family val="2"/>
    </font>
    <font>
      <b/>
      <sz val="8"/>
      <color indexed="81"/>
      <name val="Tahoma"/>
    </font>
    <font>
      <b/>
      <sz val="8"/>
      <color indexed="81"/>
      <name val="Tahoma"/>
      <family val="2"/>
    </font>
    <font>
      <sz val="8"/>
      <color indexed="81"/>
      <name val="Tahoma"/>
    </font>
    <font>
      <sz val="10"/>
      <name val="Arial Narrow"/>
      <family val="2"/>
    </font>
    <font>
      <b/>
      <sz val="8"/>
      <name val="Arial Narrow"/>
      <family val="2"/>
    </font>
    <font>
      <sz val="12"/>
      <name val="Arial Narrow"/>
      <family val="2"/>
    </font>
    <font>
      <b/>
      <sz val="12"/>
      <name val="Arial Narrow"/>
      <family val="2"/>
    </font>
    <font>
      <b/>
      <sz val="12"/>
      <color indexed="9"/>
      <name val="Arial Narrow"/>
      <family val="2"/>
    </font>
    <font>
      <sz val="12"/>
      <color indexed="9"/>
      <name val="Arial Narrow"/>
      <family val="2"/>
    </font>
    <font>
      <b/>
      <sz val="8"/>
      <color indexed="26"/>
      <name val="Arial Narrow"/>
      <family val="2"/>
    </font>
    <font>
      <b/>
      <sz val="8"/>
      <color indexed="10"/>
      <name val="Arial Narrow"/>
      <family val="2"/>
    </font>
    <font>
      <b/>
      <sz val="8"/>
      <color indexed="8"/>
      <name val="Arial Narrow"/>
      <family val="2"/>
    </font>
    <font>
      <b/>
      <sz val="10"/>
      <color indexed="9"/>
      <name val="Arial Narrow"/>
      <family val="2"/>
    </font>
    <font>
      <sz val="8"/>
      <color indexed="42"/>
      <name val="Arial Narrow"/>
      <family val="2"/>
    </font>
    <font>
      <sz val="8"/>
      <color indexed="8"/>
      <name val="Arial Narrow"/>
      <family val="2"/>
    </font>
    <font>
      <sz val="8"/>
      <name val="Symbol"/>
      <family val="1"/>
      <charset val="2"/>
    </font>
    <font>
      <b/>
      <sz val="10"/>
      <name val="Arial"/>
      <family val="2"/>
    </font>
    <font>
      <sz val="8"/>
      <name val="Arial"/>
      <family val="2"/>
    </font>
    <font>
      <sz val="8"/>
      <color rgb="FFCCFFCC"/>
      <name val="Arial Narrow"/>
      <family val="2"/>
    </font>
    <font>
      <b/>
      <sz val="8"/>
      <color theme="0"/>
      <name val="Arial Narrow"/>
      <family val="2"/>
    </font>
    <font>
      <sz val="8"/>
      <color rgb="FFFF0000"/>
      <name val="Arial Narrow"/>
      <family val="2"/>
    </font>
    <font>
      <b/>
      <sz val="12"/>
      <color indexed="9"/>
      <name val="Symbol"/>
      <family val="1"/>
      <charset val="2"/>
    </font>
    <font>
      <b/>
      <sz val="14"/>
      <name val="Arial Narrow"/>
      <family val="2"/>
    </font>
    <font>
      <b/>
      <sz val="8"/>
      <color indexed="10"/>
      <name val="Arial"/>
      <family val="2"/>
    </font>
    <font>
      <sz val="12"/>
      <name val="Arial"/>
    </font>
    <font>
      <b/>
      <sz val="12"/>
      <color indexed="9"/>
      <name val="Symbol"/>
      <charset val="2"/>
    </font>
    <font>
      <b/>
      <sz val="8"/>
      <color indexed="9"/>
      <name val="Arial Narrow"/>
      <family val="2"/>
    </font>
    <font>
      <sz val="8"/>
      <color indexed="9"/>
      <name val="Arial Narrow"/>
      <family val="2"/>
    </font>
    <font>
      <b/>
      <sz val="8"/>
      <color theme="0"/>
      <name val="Arial"/>
      <family val="2"/>
    </font>
    <font>
      <b/>
      <sz val="12"/>
      <color rgb="FFFF0000"/>
      <name val="Arial Narrow"/>
      <family val="2"/>
    </font>
    <font>
      <b/>
      <sz val="8"/>
      <color rgb="FFFF0000"/>
      <name val="Arial Narrow"/>
      <family val="2"/>
    </font>
  </fonts>
  <fills count="16">
    <fill>
      <patternFill patternType="none"/>
    </fill>
    <fill>
      <patternFill patternType="gray125"/>
    </fill>
    <fill>
      <patternFill patternType="solid">
        <fgColor indexed="42"/>
        <bgColor indexed="64"/>
      </patternFill>
    </fill>
    <fill>
      <patternFill patternType="solid">
        <fgColor indexed="26"/>
        <bgColor indexed="64"/>
      </patternFill>
    </fill>
    <fill>
      <patternFill patternType="solid">
        <fgColor indexed="41"/>
        <bgColor indexed="64"/>
      </patternFill>
    </fill>
    <fill>
      <patternFill patternType="solid">
        <fgColor indexed="10"/>
        <bgColor indexed="64"/>
      </patternFill>
    </fill>
    <fill>
      <patternFill patternType="solid">
        <fgColor indexed="27"/>
        <bgColor indexed="64"/>
      </patternFill>
    </fill>
    <fill>
      <patternFill patternType="solid">
        <fgColor indexed="9"/>
        <bgColor indexed="64"/>
      </patternFill>
    </fill>
    <fill>
      <patternFill patternType="solid">
        <fgColor indexed="51"/>
        <bgColor indexed="64"/>
      </patternFill>
    </fill>
    <fill>
      <patternFill patternType="solid">
        <fgColor rgb="FFCCFFFF"/>
        <bgColor indexed="64"/>
      </patternFill>
    </fill>
    <fill>
      <patternFill patternType="solid">
        <fgColor rgb="FFFFFFCC"/>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42"/>
        <bgColor indexed="9"/>
      </patternFill>
    </fill>
  </fills>
  <borders count="16">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thick">
        <color rgb="FFFFFFCC"/>
      </top>
      <bottom/>
      <diagonal/>
    </border>
    <border>
      <left/>
      <right/>
      <top/>
      <bottom style="thick">
        <color rgb="FFFFFFCC"/>
      </bottom>
      <diagonal/>
    </border>
    <border>
      <left style="thick">
        <color rgb="FFFFFFCC"/>
      </left>
      <right/>
      <top style="thick">
        <color rgb="FFFFFFCC"/>
      </top>
      <bottom/>
      <diagonal/>
    </border>
    <border>
      <left/>
      <right style="thick">
        <color rgb="FFFFFFCC"/>
      </right>
      <top style="thick">
        <color rgb="FFFFFFCC"/>
      </top>
      <bottom/>
      <diagonal/>
    </border>
    <border>
      <left style="thick">
        <color rgb="FFFFFFCC"/>
      </left>
      <right/>
      <top/>
      <bottom/>
      <diagonal/>
    </border>
    <border>
      <left/>
      <right style="thick">
        <color rgb="FFFFFFCC"/>
      </right>
      <top/>
      <bottom/>
      <diagonal/>
    </border>
    <border>
      <left/>
      <right/>
      <top/>
      <bottom style="hair">
        <color indexed="64"/>
      </bottom>
      <diagonal/>
    </border>
    <border>
      <left style="medium">
        <color indexed="58"/>
      </left>
      <right style="medium">
        <color indexed="58"/>
      </right>
      <top style="medium">
        <color indexed="58"/>
      </top>
      <bottom style="medium">
        <color indexed="58"/>
      </bottom>
      <diagonal/>
    </border>
  </borders>
  <cellStyleXfs count="4">
    <xf numFmtId="0" fontId="0" fillId="0" borderId="0"/>
    <xf numFmtId="164" fontId="1" fillId="0" borderId="0" applyFont="0" applyFill="0" applyBorder="0" applyAlignment="0" applyProtection="0"/>
    <xf numFmtId="0" fontId="2" fillId="0" borderId="0"/>
    <xf numFmtId="0" fontId="1" fillId="0" borderId="0"/>
  </cellStyleXfs>
  <cellXfs count="345">
    <xf numFmtId="0" fontId="0" fillId="0" borderId="0" xfId="0"/>
    <xf numFmtId="0" fontId="3" fillId="3" borderId="0" xfId="0" applyFont="1" applyFill="1" applyBorder="1" applyAlignment="1" applyProtection="1">
      <alignment horizontal="center" vertical="center"/>
    </xf>
    <xf numFmtId="0" fontId="3" fillId="4" borderId="0" xfId="2" applyFont="1" applyFill="1" applyBorder="1" applyAlignment="1" applyProtection="1">
      <alignment horizontal="center"/>
    </xf>
    <xf numFmtId="0" fontId="8" fillId="4" borderId="0" xfId="0" applyFont="1" applyFill="1" applyBorder="1" applyAlignment="1" applyProtection="1">
      <alignment horizontal="center" vertical="center"/>
    </xf>
    <xf numFmtId="0" fontId="3" fillId="4" borderId="0" xfId="0" applyFont="1" applyFill="1" applyBorder="1" applyAlignment="1" applyProtection="1">
      <alignment horizontal="center"/>
    </xf>
    <xf numFmtId="0" fontId="3" fillId="4" borderId="0" xfId="0" applyFont="1" applyFill="1" applyBorder="1" applyAlignment="1" applyProtection="1"/>
    <xf numFmtId="0" fontId="3" fillId="4" borderId="0" xfId="0" applyFont="1" applyFill="1" applyBorder="1" applyProtection="1"/>
    <xf numFmtId="0" fontId="3" fillId="5" borderId="0" xfId="0" applyFont="1" applyFill="1" applyBorder="1" applyProtection="1"/>
    <xf numFmtId="0" fontId="12" fillId="5" borderId="0" xfId="0" applyFont="1" applyFill="1" applyBorder="1" applyAlignment="1" applyProtection="1">
      <alignment horizontal="centerContinuous" vertical="center"/>
    </xf>
    <xf numFmtId="0" fontId="3" fillId="2" borderId="0" xfId="0" applyFont="1" applyFill="1" applyBorder="1" applyAlignment="1" applyProtection="1">
      <alignment vertical="center"/>
    </xf>
    <xf numFmtId="0" fontId="9" fillId="3" borderId="0" xfId="0" applyFont="1" applyFill="1" applyBorder="1" applyAlignment="1" applyProtection="1">
      <alignment horizontal="centerContinuous" vertical="center"/>
    </xf>
    <xf numFmtId="0" fontId="3" fillId="3" borderId="0" xfId="0" applyFont="1" applyFill="1" applyBorder="1" applyProtection="1"/>
    <xf numFmtId="0" fontId="3" fillId="0" borderId="0" xfId="0" applyFont="1" applyProtection="1"/>
    <xf numFmtId="0" fontId="8" fillId="5" borderId="0" xfId="0" applyFont="1" applyFill="1" applyBorder="1" applyAlignment="1" applyProtection="1"/>
    <xf numFmtId="0" fontId="8" fillId="6" borderId="0" xfId="0" applyFont="1" applyFill="1" applyBorder="1" applyAlignment="1" applyProtection="1">
      <alignment horizontal="centerContinuous"/>
    </xf>
    <xf numFmtId="0" fontId="8" fillId="5" borderId="0" xfId="0" applyFont="1" applyFill="1" applyBorder="1" applyAlignment="1" applyProtection="1">
      <alignment horizontal="centerContinuous"/>
    </xf>
    <xf numFmtId="0" fontId="8" fillId="3" borderId="0" xfId="0" applyFont="1" applyFill="1" applyBorder="1" applyAlignment="1" applyProtection="1"/>
    <xf numFmtId="0" fontId="3" fillId="3" borderId="0" xfId="0" applyFont="1" applyFill="1" applyBorder="1" applyAlignment="1" applyProtection="1">
      <alignment vertical="center" wrapText="1"/>
    </xf>
    <xf numFmtId="0" fontId="3" fillId="4" borderId="0" xfId="0" applyFont="1" applyFill="1" applyBorder="1" applyAlignment="1" applyProtection="1">
      <alignment horizontal="centerContinuous" vertical="center" wrapText="1"/>
    </xf>
    <xf numFmtId="0" fontId="3" fillId="7" borderId="1" xfId="0" applyFont="1" applyFill="1" applyBorder="1" applyAlignment="1" applyProtection="1">
      <alignment horizontal="center" vertical="center" wrapText="1"/>
      <protection locked="0"/>
    </xf>
    <xf numFmtId="0" fontId="3" fillId="5"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xf>
    <xf numFmtId="9" fontId="3" fillId="3" borderId="0" xfId="0" applyNumberFormat="1" applyFont="1" applyFill="1" applyBorder="1" applyAlignment="1" applyProtection="1">
      <alignment horizontal="center"/>
    </xf>
    <xf numFmtId="9" fontId="3" fillId="5" borderId="0" xfId="0" applyNumberFormat="1" applyFont="1" applyFill="1" applyBorder="1" applyAlignment="1" applyProtection="1">
      <alignment horizontal="center"/>
    </xf>
    <xf numFmtId="0" fontId="15" fillId="6" borderId="0" xfId="0" applyFont="1" applyFill="1" applyBorder="1" applyAlignment="1" applyProtection="1">
      <alignment horizontal="centerContinuous"/>
    </xf>
    <xf numFmtId="0" fontId="8" fillId="3" borderId="0" xfId="0" applyFont="1" applyFill="1" applyBorder="1" applyAlignment="1" applyProtection="1">
      <alignment horizontal="center" wrapText="1"/>
    </xf>
    <xf numFmtId="1" fontId="3" fillId="7" borderId="1" xfId="3" applyNumberFormat="1" applyFont="1" applyFill="1" applyBorder="1" applyAlignment="1" applyProtection="1">
      <alignment horizontal="center"/>
      <protection locked="0"/>
    </xf>
    <xf numFmtId="0" fontId="8" fillId="5" borderId="0" xfId="0" applyFont="1" applyFill="1" applyBorder="1" applyAlignment="1" applyProtection="1">
      <alignment horizontal="center"/>
    </xf>
    <xf numFmtId="1" fontId="3" fillId="4" borderId="1" xfId="0" applyNumberFormat="1" applyFont="1" applyFill="1" applyBorder="1" applyAlignment="1" applyProtection="1">
      <alignment horizontal="center"/>
    </xf>
    <xf numFmtId="0" fontId="3" fillId="7" borderId="2" xfId="0" applyFont="1" applyFill="1" applyBorder="1" applyAlignment="1" applyProtection="1">
      <alignment horizontal="center"/>
      <protection locked="0"/>
    </xf>
    <xf numFmtId="0" fontId="13" fillId="3" borderId="0" xfId="0" applyFont="1" applyFill="1" applyBorder="1" applyAlignment="1" applyProtection="1">
      <alignment horizontal="center" vertical="center"/>
    </xf>
    <xf numFmtId="0" fontId="3" fillId="7" borderId="2" xfId="3" applyFont="1" applyFill="1" applyBorder="1" applyAlignment="1" applyProtection="1">
      <alignment horizontal="center"/>
      <protection locked="0"/>
    </xf>
    <xf numFmtId="2" fontId="3" fillId="7" borderId="2" xfId="3" applyNumberFormat="1" applyFont="1" applyFill="1" applyBorder="1" applyAlignment="1" applyProtection="1">
      <alignment horizontal="center"/>
      <protection locked="0"/>
    </xf>
    <xf numFmtId="167" fontId="3" fillId="7" borderId="2" xfId="3" applyNumberFormat="1" applyFont="1" applyFill="1" applyBorder="1" applyAlignment="1" applyProtection="1">
      <alignment horizontal="center"/>
      <protection locked="0"/>
    </xf>
    <xf numFmtId="9" fontId="3" fillId="7" borderId="2" xfId="3" applyNumberFormat="1" applyFont="1" applyFill="1" applyBorder="1" applyAlignment="1" applyProtection="1">
      <alignment horizontal="center"/>
      <protection locked="0"/>
    </xf>
    <xf numFmtId="9" fontId="3" fillId="4" borderId="0" xfId="0" applyNumberFormat="1" applyFont="1" applyFill="1" applyBorder="1" applyAlignment="1" applyProtection="1">
      <alignment horizontal="center"/>
    </xf>
    <xf numFmtId="167" fontId="3" fillId="4" borderId="0" xfId="0" applyNumberFormat="1" applyFont="1" applyFill="1" applyBorder="1" applyAlignment="1" applyProtection="1">
      <alignment horizontal="center"/>
    </xf>
    <xf numFmtId="2" fontId="3" fillId="3" borderId="0" xfId="0" applyNumberFormat="1" applyFont="1" applyFill="1" applyBorder="1" applyProtection="1"/>
    <xf numFmtId="167" fontId="3" fillId="5" borderId="0" xfId="0" applyNumberFormat="1" applyFont="1" applyFill="1" applyBorder="1" applyAlignment="1" applyProtection="1">
      <alignment horizontal="center"/>
    </xf>
    <xf numFmtId="9" fontId="3" fillId="4" borderId="3" xfId="0" applyNumberFormat="1" applyFont="1" applyFill="1" applyBorder="1" applyAlignment="1" applyProtection="1">
      <alignment horizontal="center"/>
    </xf>
    <xf numFmtId="0" fontId="3" fillId="7" borderId="3" xfId="0" applyFont="1" applyFill="1" applyBorder="1" applyAlignment="1" applyProtection="1">
      <alignment horizontal="center"/>
      <protection locked="0"/>
    </xf>
    <xf numFmtId="0" fontId="3" fillId="7" borderId="3" xfId="3" applyFont="1" applyFill="1" applyBorder="1" applyAlignment="1" applyProtection="1">
      <alignment horizontal="center"/>
      <protection locked="0"/>
    </xf>
    <xf numFmtId="2" fontId="3" fillId="7" borderId="3" xfId="3" applyNumberFormat="1" applyFont="1" applyFill="1" applyBorder="1" applyAlignment="1" applyProtection="1">
      <alignment horizontal="center"/>
      <protection locked="0"/>
    </xf>
    <xf numFmtId="167" fontId="3" fillId="7" borderId="3" xfId="3" applyNumberFormat="1" applyFont="1" applyFill="1" applyBorder="1" applyAlignment="1" applyProtection="1">
      <alignment horizontal="center"/>
      <protection locked="0"/>
    </xf>
    <xf numFmtId="9" fontId="3" fillId="7" borderId="3" xfId="3" applyNumberFormat="1" applyFont="1" applyFill="1" applyBorder="1" applyAlignment="1" applyProtection="1">
      <alignment horizontal="center"/>
      <protection locked="0"/>
    </xf>
    <xf numFmtId="0" fontId="3" fillId="3" borderId="0" xfId="0" applyFont="1" applyFill="1" applyBorder="1" applyAlignment="1" applyProtection="1"/>
    <xf numFmtId="0" fontId="3" fillId="7" borderId="4" xfId="0" applyFont="1" applyFill="1" applyBorder="1" applyAlignment="1" applyProtection="1">
      <alignment horizontal="center"/>
      <protection locked="0"/>
    </xf>
    <xf numFmtId="2" fontId="3" fillId="7" borderId="3" xfId="0" applyNumberFormat="1" applyFont="1" applyFill="1" applyBorder="1" applyAlignment="1" applyProtection="1">
      <alignment horizontal="center"/>
      <protection locked="0"/>
    </xf>
    <xf numFmtId="167" fontId="3" fillId="7" borderId="3" xfId="0" applyNumberFormat="1" applyFont="1" applyFill="1" applyBorder="1" applyAlignment="1" applyProtection="1">
      <alignment horizontal="center"/>
      <protection locked="0"/>
    </xf>
    <xf numFmtId="0" fontId="8" fillId="3" borderId="0" xfId="0" applyFont="1" applyFill="1" applyProtection="1"/>
    <xf numFmtId="0" fontId="8" fillId="3" borderId="0" xfId="0" applyFont="1" applyFill="1" applyBorder="1" applyProtection="1"/>
    <xf numFmtId="0" fontId="8" fillId="3" borderId="0" xfId="0" applyFont="1" applyFill="1" applyBorder="1" applyAlignment="1" applyProtection="1">
      <alignment horizontal="center"/>
    </xf>
    <xf numFmtId="0" fontId="3" fillId="0" borderId="0" xfId="0" applyFont="1" applyBorder="1" applyProtection="1"/>
    <xf numFmtId="2" fontId="3" fillId="7" borderId="4" xfId="0" applyNumberFormat="1" applyFont="1" applyFill="1" applyBorder="1" applyAlignment="1" applyProtection="1">
      <alignment horizontal="center"/>
      <protection locked="0"/>
    </xf>
    <xf numFmtId="167" fontId="3" fillId="7" borderId="4" xfId="0" applyNumberFormat="1" applyFont="1" applyFill="1" applyBorder="1" applyAlignment="1" applyProtection="1">
      <alignment horizontal="center"/>
      <protection locked="0"/>
    </xf>
    <xf numFmtId="9" fontId="3" fillId="7" borderId="4" xfId="0" applyNumberFormat="1" applyFont="1" applyFill="1" applyBorder="1" applyAlignment="1" applyProtection="1">
      <alignment horizontal="center"/>
      <protection locked="0"/>
    </xf>
    <xf numFmtId="9" fontId="3" fillId="4" borderId="4" xfId="0" applyNumberFormat="1" applyFont="1" applyFill="1" applyBorder="1" applyAlignment="1" applyProtection="1">
      <alignment horizontal="center"/>
    </xf>
    <xf numFmtId="2" fontId="3" fillId="7" borderId="1" xfId="0" applyNumberFormat="1" applyFont="1" applyFill="1" applyBorder="1" applyAlignment="1" applyProtection="1">
      <alignment horizontal="center" vertical="center"/>
      <protection locked="0"/>
    </xf>
    <xf numFmtId="167" fontId="3" fillId="7" borderId="1" xfId="0" applyNumberFormat="1" applyFont="1" applyFill="1" applyBorder="1" applyAlignment="1" applyProtection="1">
      <alignment horizontal="center"/>
      <protection locked="0"/>
    </xf>
    <xf numFmtId="9" fontId="3" fillId="4" borderId="0" xfId="0" applyNumberFormat="1" applyFont="1" applyFill="1" applyBorder="1" applyProtection="1"/>
    <xf numFmtId="9" fontId="3" fillId="5" borderId="0" xfId="0" applyNumberFormat="1" applyFont="1" applyFill="1" applyBorder="1" applyProtection="1"/>
    <xf numFmtId="9" fontId="3" fillId="7" borderId="4" xfId="3" applyNumberFormat="1" applyFont="1" applyFill="1" applyBorder="1" applyAlignment="1" applyProtection="1">
      <alignment horizontal="center"/>
      <protection locked="0"/>
    </xf>
    <xf numFmtId="0" fontId="8" fillId="6" borderId="0" xfId="0" applyFont="1" applyFill="1" applyBorder="1" applyAlignment="1" applyProtection="1">
      <alignment horizontal="center"/>
    </xf>
    <xf numFmtId="9" fontId="3" fillId="6" borderId="0" xfId="0" applyNumberFormat="1" applyFont="1" applyFill="1" applyBorder="1" applyAlignment="1" applyProtection="1">
      <alignment horizontal="center"/>
    </xf>
    <xf numFmtId="9" fontId="8" fillId="6" borderId="0" xfId="0" applyNumberFormat="1" applyFont="1" applyFill="1" applyBorder="1" applyAlignment="1" applyProtection="1">
      <alignment horizontal="center"/>
    </xf>
    <xf numFmtId="9" fontId="8" fillId="5" borderId="0" xfId="0" applyNumberFormat="1" applyFont="1" applyFill="1" applyBorder="1" applyAlignment="1" applyProtection="1">
      <alignment horizontal="right"/>
    </xf>
    <xf numFmtId="9" fontId="8" fillId="6" borderId="0" xfId="0" applyNumberFormat="1" applyFont="1" applyFill="1" applyBorder="1" applyAlignment="1" applyProtection="1">
      <alignment horizontal="right"/>
    </xf>
    <xf numFmtId="9" fontId="8" fillId="3" borderId="0" xfId="0" applyNumberFormat="1" applyFont="1" applyFill="1" applyBorder="1" applyAlignment="1" applyProtection="1">
      <alignment horizontal="right"/>
    </xf>
    <xf numFmtId="0" fontId="8" fillId="4" borderId="0" xfId="0" applyFont="1" applyFill="1" applyBorder="1" applyAlignment="1" applyProtection="1">
      <alignment horizontal="centerContinuous"/>
    </xf>
    <xf numFmtId="0" fontId="3" fillId="4" borderId="0" xfId="0" applyFont="1" applyFill="1" applyBorder="1" applyAlignment="1" applyProtection="1">
      <alignment horizontal="centerContinuous"/>
    </xf>
    <xf numFmtId="2" fontId="3" fillId="7" borderId="1" xfId="0" applyNumberFormat="1" applyFont="1" applyFill="1" applyBorder="1" applyAlignment="1" applyProtection="1">
      <alignment horizontal="center"/>
      <protection locked="0"/>
    </xf>
    <xf numFmtId="2" fontId="3" fillId="4" borderId="0" xfId="0" applyNumberFormat="1" applyFont="1" applyFill="1" applyBorder="1" applyAlignment="1" applyProtection="1">
      <alignment horizontal="centerContinuous"/>
    </xf>
    <xf numFmtId="9" fontId="3" fillId="7" borderId="1" xfId="0" applyNumberFormat="1" applyFont="1" applyFill="1" applyBorder="1" applyAlignment="1" applyProtection="1">
      <alignment horizontal="center"/>
      <protection locked="0"/>
    </xf>
    <xf numFmtId="2" fontId="8" fillId="5" borderId="0" xfId="0" applyNumberFormat="1" applyFont="1" applyFill="1" applyBorder="1" applyAlignment="1" applyProtection="1">
      <alignment horizontal="centerContinuous"/>
    </xf>
    <xf numFmtId="2" fontId="3" fillId="5" borderId="0" xfId="0" applyNumberFormat="1" applyFont="1" applyFill="1" applyBorder="1" applyAlignment="1" applyProtection="1">
      <alignment horizontal="centerContinuous"/>
    </xf>
    <xf numFmtId="0" fontId="3" fillId="7" borderId="1" xfId="0" applyFont="1" applyFill="1" applyBorder="1" applyAlignment="1" applyProtection="1">
      <alignment horizontal="center"/>
      <protection locked="0"/>
    </xf>
    <xf numFmtId="0" fontId="7" fillId="4" borderId="0" xfId="0" applyFont="1" applyFill="1" applyBorder="1" applyAlignment="1" applyProtection="1">
      <alignment horizontal="centerContinuous" vertical="center" wrapText="1"/>
    </xf>
    <xf numFmtId="2" fontId="3" fillId="4" borderId="0" xfId="0" applyNumberFormat="1" applyFont="1" applyFill="1" applyBorder="1" applyAlignment="1" applyProtection="1">
      <alignment horizontal="center"/>
    </xf>
    <xf numFmtId="2" fontId="3" fillId="4" borderId="0" xfId="0" applyNumberFormat="1" applyFont="1" applyFill="1" applyBorder="1" applyProtection="1"/>
    <xf numFmtId="2" fontId="8" fillId="5" borderId="0" xfId="0" applyNumberFormat="1" applyFont="1" applyFill="1" applyBorder="1" applyAlignment="1" applyProtection="1">
      <alignment horizontal="left"/>
    </xf>
    <xf numFmtId="2" fontId="3" fillId="5" borderId="0" xfId="0" applyNumberFormat="1" applyFont="1" applyFill="1" applyBorder="1" applyAlignment="1" applyProtection="1">
      <alignment horizontal="center"/>
    </xf>
    <xf numFmtId="2" fontId="3" fillId="5" borderId="0" xfId="0" applyNumberFormat="1" applyFont="1" applyFill="1" applyBorder="1" applyProtection="1"/>
    <xf numFmtId="0" fontId="3" fillId="0" borderId="0" xfId="0" applyFont="1" applyFill="1" applyBorder="1" applyProtection="1"/>
    <xf numFmtId="0" fontId="8" fillId="5" borderId="0" xfId="0" applyFont="1" applyFill="1" applyBorder="1" applyProtection="1"/>
    <xf numFmtId="1" fontId="3" fillId="0" borderId="2" xfId="0" applyNumberFormat="1" applyFont="1" applyBorder="1" applyAlignment="1" applyProtection="1">
      <alignment horizontal="center"/>
      <protection locked="0"/>
    </xf>
    <xf numFmtId="0" fontId="3" fillId="5" borderId="0" xfId="0" applyFont="1" applyFill="1" applyBorder="1" applyAlignment="1" applyProtection="1">
      <alignment horizontal="centerContinuous"/>
    </xf>
    <xf numFmtId="0" fontId="3" fillId="5" borderId="0" xfId="0" applyFont="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3" fillId="5" borderId="0" xfId="0" applyFont="1" applyFill="1" applyBorder="1" applyAlignment="1" applyProtection="1">
      <alignment horizontal="center"/>
    </xf>
    <xf numFmtId="0" fontId="3" fillId="5" borderId="0" xfId="0" applyFont="1" applyFill="1" applyBorder="1" applyAlignment="1" applyProtection="1"/>
    <xf numFmtId="9" fontId="3" fillId="4" borderId="0" xfId="0" applyNumberFormat="1" applyFont="1" applyFill="1" applyBorder="1" applyAlignment="1" applyProtection="1">
      <alignment horizontal="centerContinuous"/>
    </xf>
    <xf numFmtId="9" fontId="8" fillId="4" borderId="0" xfId="0" applyNumberFormat="1" applyFont="1" applyFill="1" applyBorder="1" applyAlignment="1" applyProtection="1">
      <alignment horizontal="centerContinuous"/>
    </xf>
    <xf numFmtId="9" fontId="3" fillId="4" borderId="0" xfId="0" quotePrefix="1" applyNumberFormat="1" applyFont="1" applyFill="1" applyBorder="1" applyAlignment="1" applyProtection="1">
      <alignment horizontal="centerContinuous"/>
    </xf>
    <xf numFmtId="9" fontId="8" fillId="4" borderId="0" xfId="0" quotePrefix="1" applyNumberFormat="1" applyFont="1" applyFill="1" applyBorder="1" applyAlignment="1" applyProtection="1">
      <alignment horizontal="centerContinuous"/>
    </xf>
    <xf numFmtId="9" fontId="3" fillId="5" borderId="0" xfId="0" quotePrefix="1" applyNumberFormat="1" applyFont="1" applyFill="1" applyBorder="1" applyAlignment="1" applyProtection="1">
      <alignment horizontal="center"/>
    </xf>
    <xf numFmtId="0" fontId="3" fillId="5" borderId="0" xfId="0" quotePrefix="1" applyFont="1" applyFill="1" applyBorder="1" applyProtection="1"/>
    <xf numFmtId="0" fontId="8" fillId="5" borderId="0" xfId="0" applyFont="1" applyFill="1" applyBorder="1" applyAlignment="1" applyProtection="1">
      <alignment vertical="center" wrapText="1"/>
    </xf>
    <xf numFmtId="0" fontId="8" fillId="4" borderId="0" xfId="0" applyFont="1" applyFill="1" applyBorder="1" applyAlignment="1" applyProtection="1">
      <alignment horizontal="centerContinuous" vertical="center" wrapText="1"/>
    </xf>
    <xf numFmtId="0" fontId="3" fillId="5" borderId="0" xfId="0" applyFont="1" applyFill="1" applyBorder="1" applyAlignment="1" applyProtection="1">
      <alignment vertical="center" wrapText="1"/>
    </xf>
    <xf numFmtId="165" fontId="3" fillId="5" borderId="0" xfId="0" applyNumberFormat="1" applyFont="1" applyFill="1" applyBorder="1" applyAlignment="1" applyProtection="1">
      <alignment horizontal="center"/>
    </xf>
    <xf numFmtId="0" fontId="8" fillId="5" borderId="0" xfId="0" applyFont="1" applyFill="1" applyBorder="1" applyAlignment="1" applyProtection="1">
      <alignment horizontal="centerContinuous" vertical="center" wrapText="1"/>
    </xf>
    <xf numFmtId="11" fontId="3" fillId="5" borderId="0" xfId="0" applyNumberFormat="1" applyFont="1" applyFill="1" applyBorder="1" applyAlignment="1" applyProtection="1">
      <alignment horizontal="center" vertical="center" wrapText="1"/>
    </xf>
    <xf numFmtId="0" fontId="3" fillId="5" borderId="0" xfId="0" applyFont="1" applyFill="1" applyBorder="1" applyAlignment="1" applyProtection="1">
      <alignment vertical="center"/>
    </xf>
    <xf numFmtId="1" fontId="3" fillId="5" borderId="0" xfId="0" applyNumberFormat="1" applyFont="1" applyFill="1" applyBorder="1" applyAlignment="1" applyProtection="1">
      <alignment horizontal="center"/>
    </xf>
    <xf numFmtId="2" fontId="3" fillId="3" borderId="0" xfId="0" applyNumberFormat="1" applyFont="1" applyFill="1" applyBorder="1" applyAlignment="1" applyProtection="1">
      <alignment horizontal="center" vertical="center"/>
    </xf>
    <xf numFmtId="0" fontId="9" fillId="2" borderId="0" xfId="0" applyFont="1" applyFill="1" applyAlignment="1" applyProtection="1">
      <alignment horizontal="centerContinuous" vertical="center" wrapText="1"/>
    </xf>
    <xf numFmtId="0" fontId="3" fillId="2" borderId="0" xfId="0" applyFont="1" applyFill="1" applyBorder="1" applyProtection="1"/>
    <xf numFmtId="0" fontId="3" fillId="2" borderId="0" xfId="0" applyFont="1" applyFill="1" applyBorder="1" applyAlignment="1" applyProtection="1">
      <alignment vertical="center" wrapText="1"/>
    </xf>
    <xf numFmtId="0" fontId="8" fillId="8" borderId="0" xfId="0" applyFont="1" applyFill="1" applyBorder="1" applyAlignment="1" applyProtection="1">
      <alignment horizontal="centerContinuous" vertical="center"/>
    </xf>
    <xf numFmtId="0" fontId="8" fillId="8" borderId="0" xfId="0" applyFont="1" applyFill="1" applyBorder="1" applyAlignment="1" applyProtection="1">
      <alignment horizontal="centerContinuous"/>
    </xf>
    <xf numFmtId="0" fontId="3" fillId="8" borderId="0" xfId="0" applyFont="1" applyFill="1" applyBorder="1" applyAlignment="1" applyProtection="1">
      <alignment horizontal="centerContinuous"/>
    </xf>
    <xf numFmtId="0" fontId="3" fillId="8" borderId="0" xfId="0" applyFont="1" applyFill="1" applyAlignment="1" applyProtection="1">
      <alignment horizontal="centerContinuous"/>
    </xf>
    <xf numFmtId="0" fontId="3" fillId="8" borderId="0" xfId="0" applyFont="1" applyFill="1" applyBorder="1" applyAlignment="1" applyProtection="1">
      <alignment horizontal="centerContinuous" vertical="center" wrapText="1"/>
    </xf>
    <xf numFmtId="0" fontId="8" fillId="8" borderId="0" xfId="0" applyFont="1" applyFill="1" applyBorder="1" applyAlignment="1" applyProtection="1">
      <alignment horizontal="centerContinuous" wrapText="1"/>
    </xf>
    <xf numFmtId="0" fontId="8" fillId="5" borderId="0" xfId="0" applyFont="1" applyFill="1" applyBorder="1" applyAlignment="1" applyProtection="1">
      <alignment horizontal="centerContinuous" wrapText="1"/>
    </xf>
    <xf numFmtId="0" fontId="3" fillId="2" borderId="0" xfId="0" applyFont="1" applyFill="1" applyBorder="1" applyAlignment="1" applyProtection="1"/>
    <xf numFmtId="0" fontId="3" fillId="0" borderId="0" xfId="0" applyFont="1" applyBorder="1" applyAlignment="1" applyProtection="1">
      <alignment horizontal="centerContinuous"/>
    </xf>
    <xf numFmtId="0" fontId="3" fillId="7" borderId="0" xfId="0" applyFont="1" applyFill="1" applyBorder="1" applyAlignment="1" applyProtection="1">
      <alignment horizontal="centerContinuous"/>
    </xf>
    <xf numFmtId="0" fontId="3" fillId="8" borderId="0" xfId="0" applyFont="1" applyFill="1" applyBorder="1" applyProtection="1"/>
    <xf numFmtId="0" fontId="3" fillId="8" borderId="0" xfId="0" applyFont="1" applyFill="1" applyBorder="1" applyAlignment="1" applyProtection="1">
      <alignment horizontal="right"/>
    </xf>
    <xf numFmtId="2" fontId="3" fillId="7" borderId="0" xfId="0" applyNumberFormat="1" applyFont="1" applyFill="1" applyBorder="1" applyAlignment="1" applyProtection="1">
      <alignment horizontal="center"/>
    </xf>
    <xf numFmtId="167" fontId="3" fillId="7" borderId="0" xfId="0" applyNumberFormat="1" applyFont="1" applyFill="1" applyBorder="1" applyAlignment="1" applyProtection="1">
      <alignment horizontal="center"/>
    </xf>
    <xf numFmtId="0" fontId="17" fillId="2" borderId="0" xfId="0" applyFont="1" applyFill="1" applyProtection="1"/>
    <xf numFmtId="0" fontId="17" fillId="5" borderId="0" xfId="0" applyFont="1" applyFill="1" applyBorder="1" applyProtection="1"/>
    <xf numFmtId="0" fontId="18" fillId="5" borderId="0" xfId="0" applyFont="1" applyFill="1" applyBorder="1" applyProtection="1"/>
    <xf numFmtId="0" fontId="3" fillId="5" borderId="0" xfId="0" applyFont="1" applyFill="1" applyProtection="1"/>
    <xf numFmtId="0" fontId="3" fillId="2" borderId="0" xfId="0" applyFont="1" applyFill="1" applyProtection="1"/>
    <xf numFmtId="0" fontId="3" fillId="7" borderId="0" xfId="0" applyFont="1" applyFill="1" applyProtection="1"/>
    <xf numFmtId="167" fontId="3" fillId="7" borderId="0" xfId="0" applyNumberFormat="1" applyFont="1" applyFill="1" applyProtection="1"/>
    <xf numFmtId="0" fontId="3" fillId="7" borderId="0" xfId="0" applyFont="1" applyFill="1" applyBorder="1" applyProtection="1"/>
    <xf numFmtId="0" fontId="8" fillId="0" borderId="0" xfId="0" applyFont="1" applyBorder="1" applyProtection="1"/>
    <xf numFmtId="0" fontId="3" fillId="7" borderId="0" xfId="0" applyFont="1" applyFill="1" applyBorder="1" applyAlignment="1" applyProtection="1">
      <alignment horizontal="right"/>
    </xf>
    <xf numFmtId="167" fontId="3" fillId="0" borderId="0" xfId="0" quotePrefix="1" applyNumberFormat="1" applyFont="1" applyBorder="1" applyAlignment="1" applyProtection="1">
      <alignment horizontal="center"/>
    </xf>
    <xf numFmtId="167" fontId="3" fillId="0" borderId="0" xfId="0" applyNumberFormat="1" applyFont="1" applyBorder="1" applyAlignment="1" applyProtection="1">
      <alignment horizontal="center"/>
    </xf>
    <xf numFmtId="0" fontId="17" fillId="2" borderId="0" xfId="0" applyFont="1" applyFill="1" applyBorder="1" applyProtection="1"/>
    <xf numFmtId="0" fontId="8" fillId="7" borderId="0" xfId="0" applyFont="1" applyFill="1" applyBorder="1" applyAlignment="1" applyProtection="1">
      <alignment vertical="center"/>
    </xf>
    <xf numFmtId="0" fontId="3" fillId="7" borderId="0" xfId="0" applyFont="1" applyFill="1" applyBorder="1" applyAlignment="1" applyProtection="1"/>
    <xf numFmtId="0" fontId="3" fillId="0" borderId="0" xfId="0" applyFont="1" applyBorder="1" applyAlignment="1" applyProtection="1">
      <alignment horizontal="right"/>
    </xf>
    <xf numFmtId="0" fontId="3" fillId="8" borderId="0" xfId="0" applyFont="1" applyFill="1" applyBorder="1" applyAlignment="1" applyProtection="1"/>
    <xf numFmtId="0" fontId="3" fillId="2" borderId="0" xfId="0" applyFont="1" applyFill="1" applyBorder="1" applyAlignment="1" applyProtection="1">
      <alignment horizontal="right"/>
    </xf>
    <xf numFmtId="10" fontId="14" fillId="2" borderId="0" xfId="0" applyNumberFormat="1" applyFont="1" applyFill="1" applyBorder="1" applyAlignment="1" applyProtection="1">
      <alignment horizontal="center"/>
    </xf>
    <xf numFmtId="0" fontId="8" fillId="7" borderId="0" xfId="0" applyFont="1" applyFill="1" applyBorder="1" applyProtection="1"/>
    <xf numFmtId="167" fontId="3" fillId="7" borderId="0" xfId="0" quotePrefix="1" applyNumberFormat="1" applyFont="1" applyFill="1" applyBorder="1" applyAlignment="1" applyProtection="1">
      <alignment horizontal="center"/>
    </xf>
    <xf numFmtId="0" fontId="17" fillId="7" borderId="0" xfId="0" applyFont="1" applyFill="1" applyProtection="1"/>
    <xf numFmtId="0" fontId="3" fillId="7" borderId="0" xfId="0" applyFont="1" applyFill="1" applyAlignment="1" applyProtection="1">
      <alignment vertical="center"/>
    </xf>
    <xf numFmtId="0" fontId="8" fillId="5" borderId="0" xfId="0" applyFont="1" applyFill="1" applyBorder="1" applyAlignment="1" applyProtection="1">
      <alignment horizontal="centerContinuous" vertical="center"/>
    </xf>
    <xf numFmtId="9" fontId="3" fillId="5" borderId="0" xfId="0" applyNumberFormat="1" applyFont="1" applyFill="1" applyBorder="1" applyAlignment="1" applyProtection="1">
      <alignment horizontal="centerContinuous" vertical="center"/>
    </xf>
    <xf numFmtId="0" fontId="3" fillId="0" borderId="0" xfId="0" applyFont="1" applyAlignment="1" applyProtection="1">
      <alignment vertical="center"/>
    </xf>
    <xf numFmtId="167" fontId="3" fillId="5" borderId="0" xfId="0" applyNumberFormat="1" applyFont="1" applyFill="1" applyBorder="1" applyAlignment="1" applyProtection="1">
      <alignment horizontal="center" vertical="center" wrapText="1"/>
    </xf>
    <xf numFmtId="2" fontId="3" fillId="5" borderId="0" xfId="0" applyNumberFormat="1" applyFont="1" applyFill="1" applyBorder="1" applyAlignment="1" applyProtection="1">
      <alignment horizontal="center" vertical="center" wrapText="1"/>
    </xf>
    <xf numFmtId="0" fontId="3" fillId="7" borderId="0" xfId="0" applyFont="1" applyFill="1" applyAlignment="1" applyProtection="1"/>
    <xf numFmtId="0" fontId="8" fillId="5" borderId="0" xfId="0" applyFont="1" applyFill="1" applyBorder="1" applyAlignment="1" applyProtection="1">
      <alignment horizontal="right"/>
    </xf>
    <xf numFmtId="0" fontId="3" fillId="0" borderId="0" xfId="0" applyFont="1" applyAlignment="1" applyProtection="1"/>
    <xf numFmtId="0" fontId="3" fillId="7" borderId="0" xfId="0" applyFont="1" applyFill="1" applyBorder="1" applyAlignment="1" applyProtection="1">
      <alignment vertical="center"/>
    </xf>
    <xf numFmtId="0" fontId="10" fillId="2" borderId="0" xfId="0" applyFont="1" applyFill="1" applyAlignment="1" applyProtection="1">
      <alignment horizontal="center" vertical="center" textRotation="90"/>
    </xf>
    <xf numFmtId="0" fontId="19" fillId="3" borderId="0" xfId="0" applyFont="1" applyFill="1" applyBorder="1" applyAlignment="1" applyProtection="1">
      <alignment horizontal="center"/>
    </xf>
    <xf numFmtId="1" fontId="3" fillId="7" borderId="1" xfId="0" applyNumberFormat="1" applyFont="1" applyFill="1" applyBorder="1" applyAlignment="1" applyProtection="1">
      <alignment horizontal="center" vertical="center" wrapText="1"/>
      <protection locked="0"/>
    </xf>
    <xf numFmtId="0" fontId="3" fillId="0" borderId="0" xfId="0" applyFont="1" applyBorder="1" applyAlignment="1" applyProtection="1">
      <alignment horizontal="center"/>
    </xf>
    <xf numFmtId="0" fontId="3" fillId="7" borderId="0" xfId="0" applyFont="1" applyFill="1" applyBorder="1" applyAlignment="1" applyProtection="1">
      <alignment horizontal="center"/>
    </xf>
    <xf numFmtId="0" fontId="3" fillId="0" borderId="0" xfId="0" applyFont="1" applyAlignment="1" applyProtection="1">
      <alignment horizontal="center"/>
    </xf>
    <xf numFmtId="166" fontId="3" fillId="0" borderId="0" xfId="0" applyNumberFormat="1" applyFont="1" applyAlignment="1" applyProtection="1">
      <alignment horizontal="center"/>
    </xf>
    <xf numFmtId="166" fontId="3" fillId="0" borderId="0" xfId="0" applyNumberFormat="1" applyFont="1" applyBorder="1" applyAlignment="1" applyProtection="1">
      <alignment horizontal="center"/>
    </xf>
    <xf numFmtId="166" fontId="3" fillId="7" borderId="0" xfId="0" applyNumberFormat="1" applyFont="1" applyFill="1" applyBorder="1" applyAlignment="1" applyProtection="1">
      <alignment horizontal="center"/>
    </xf>
    <xf numFmtId="0" fontId="3" fillId="4" borderId="0" xfId="0" applyFont="1" applyFill="1" applyProtection="1"/>
    <xf numFmtId="0" fontId="3" fillId="4" borderId="0" xfId="0" applyFont="1" applyFill="1" applyBorder="1" applyAlignment="1" applyProtection="1">
      <alignment wrapText="1"/>
    </xf>
    <xf numFmtId="0" fontId="3" fillId="6" borderId="0" xfId="0" applyFont="1" applyFill="1" applyBorder="1" applyAlignment="1" applyProtection="1">
      <alignment wrapText="1"/>
    </xf>
    <xf numFmtId="0" fontId="3" fillId="4" borderId="0" xfId="0" applyFont="1" applyFill="1" applyBorder="1" applyAlignment="1" applyProtection="1">
      <alignment horizontal="right"/>
    </xf>
    <xf numFmtId="0" fontId="3" fillId="0" borderId="0" xfId="0" applyFont="1" applyBorder="1" applyAlignment="1" applyProtection="1">
      <alignment horizontal="left"/>
    </xf>
    <xf numFmtId="0" fontId="3" fillId="4" borderId="0" xfId="0" applyFont="1" applyFill="1" applyAlignment="1" applyProtection="1">
      <alignment horizontal="centerContinuous"/>
    </xf>
    <xf numFmtId="167" fontId="8" fillId="5" borderId="0" xfId="0" applyNumberFormat="1" applyFont="1" applyFill="1" applyBorder="1" applyAlignment="1" applyProtection="1">
      <alignment horizontal="center"/>
    </xf>
    <xf numFmtId="167" fontId="8" fillId="5" borderId="0" xfId="0" applyNumberFormat="1" applyFont="1" applyFill="1" applyBorder="1" applyAlignment="1" applyProtection="1">
      <alignment horizontal="center" vertical="center" wrapText="1"/>
    </xf>
    <xf numFmtId="167" fontId="3" fillId="4" borderId="0" xfId="0" applyNumberFormat="1" applyFont="1" applyFill="1" applyBorder="1" applyAlignment="1" applyProtection="1">
      <alignment horizontal="center" wrapText="1"/>
    </xf>
    <xf numFmtId="167" fontId="3" fillId="6" borderId="0" xfId="0" applyNumberFormat="1" applyFont="1" applyFill="1" applyBorder="1" applyAlignment="1" applyProtection="1">
      <alignment horizontal="center" wrapText="1"/>
    </xf>
    <xf numFmtId="2" fontId="18" fillId="4" borderId="0" xfId="0" applyNumberFormat="1" applyFont="1" applyFill="1" applyBorder="1" applyAlignment="1" applyProtection="1">
      <alignment horizontal="center"/>
    </xf>
    <xf numFmtId="0" fontId="3" fillId="3" borderId="0" xfId="0" applyFont="1" applyFill="1" applyBorder="1" applyAlignment="1" applyProtection="1">
      <alignment wrapText="1"/>
    </xf>
    <xf numFmtId="0" fontId="3" fillId="3" borderId="0" xfId="0" applyFont="1" applyFill="1" applyProtection="1"/>
    <xf numFmtId="167" fontId="3" fillId="3" borderId="0" xfId="0" applyNumberFormat="1" applyFont="1" applyFill="1" applyBorder="1" applyAlignment="1" applyProtection="1">
      <alignment horizontal="center" wrapText="1"/>
    </xf>
    <xf numFmtId="0" fontId="0" fillId="3" borderId="0" xfId="0" applyFill="1" applyAlignment="1">
      <alignment horizontal="center" vertical="center" wrapText="1"/>
    </xf>
    <xf numFmtId="0" fontId="18" fillId="5" borderId="0" xfId="0" applyFont="1" applyFill="1" applyBorder="1" applyAlignment="1" applyProtection="1">
      <alignment horizontal="center"/>
    </xf>
    <xf numFmtId="0" fontId="15" fillId="4" borderId="0" xfId="0" applyFont="1" applyFill="1" applyBorder="1" applyAlignment="1" applyProtection="1">
      <alignment horizontal="centerContinuous"/>
    </xf>
    <xf numFmtId="9" fontId="18" fillId="4" borderId="0" xfId="0" applyNumberFormat="1" applyFont="1" applyFill="1" applyBorder="1" applyAlignment="1" applyProtection="1">
      <alignment horizontal="centerContinuous"/>
    </xf>
    <xf numFmtId="0" fontId="18" fillId="4" borderId="0" xfId="0" applyFont="1" applyFill="1" applyBorder="1" applyAlignment="1" applyProtection="1"/>
    <xf numFmtId="0" fontId="18" fillId="5" borderId="0" xfId="0" applyFont="1" applyFill="1" applyBorder="1" applyAlignment="1" applyProtection="1"/>
    <xf numFmtId="9" fontId="15" fillId="4" borderId="0" xfId="0" applyNumberFormat="1" applyFont="1" applyFill="1" applyBorder="1" applyAlignment="1" applyProtection="1">
      <alignment horizontal="centerContinuous"/>
    </xf>
    <xf numFmtId="0" fontId="3" fillId="3" borderId="0" xfId="0" applyFont="1" applyFill="1" applyBorder="1" applyAlignment="1" applyProtection="1">
      <alignment horizontal="centerContinuous"/>
    </xf>
    <xf numFmtId="9" fontId="15" fillId="4" borderId="0" xfId="0" quotePrefix="1" applyNumberFormat="1" applyFont="1" applyFill="1" applyBorder="1" applyAlignment="1" applyProtection="1">
      <alignment horizontal="centerContinuous"/>
    </xf>
    <xf numFmtId="167" fontId="18" fillId="4" borderId="0" xfId="0" applyNumberFormat="1" applyFont="1" applyFill="1" applyBorder="1" applyAlignment="1" applyProtection="1">
      <alignment horizontal="center"/>
    </xf>
    <xf numFmtId="9" fontId="18" fillId="4" borderId="0" xfId="0" applyNumberFormat="1" applyFont="1" applyFill="1" applyBorder="1" applyAlignment="1" applyProtection="1">
      <alignment horizontal="center"/>
    </xf>
    <xf numFmtId="11" fontId="3" fillId="4" borderId="0" xfId="0" applyNumberFormat="1" applyFont="1" applyFill="1" applyBorder="1" applyAlignment="1" applyProtection="1">
      <alignment horizontal="center"/>
    </xf>
    <xf numFmtId="11" fontId="3" fillId="4" borderId="0" xfId="1" applyNumberFormat="1" applyFont="1" applyFill="1" applyBorder="1" applyAlignment="1" applyProtection="1">
      <alignment horizontal="center"/>
    </xf>
    <xf numFmtId="0" fontId="3" fillId="4" borderId="0" xfId="0" applyFont="1" applyFill="1" applyBorder="1" applyAlignment="1" applyProtection="1">
      <alignment horizontal="center" wrapText="1"/>
    </xf>
    <xf numFmtId="0" fontId="3" fillId="6" borderId="0" xfId="0" applyFont="1" applyFill="1" applyBorder="1" applyAlignment="1" applyProtection="1">
      <alignment horizontal="center" wrapText="1"/>
    </xf>
    <xf numFmtId="167" fontId="3" fillId="4" borderId="0" xfId="0" applyNumberFormat="1" applyFont="1" applyFill="1" applyBorder="1" applyAlignment="1" applyProtection="1">
      <alignment horizontal="center" vertical="center" wrapText="1"/>
    </xf>
    <xf numFmtId="0" fontId="14" fillId="7" borderId="0" xfId="0" applyFont="1" applyFill="1" applyBorder="1" applyAlignment="1" applyProtection="1"/>
    <xf numFmtId="0" fontId="3" fillId="0" borderId="0" xfId="0" applyFont="1" applyBorder="1" applyAlignment="1" applyProtection="1"/>
    <xf numFmtId="0" fontId="3" fillId="4" borderId="0" xfId="0" applyFont="1" applyFill="1" applyBorder="1" applyAlignment="1" applyProtection="1">
      <alignment horizontal="center" vertical="center" wrapText="1"/>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xf>
    <xf numFmtId="49" fontId="3" fillId="4" borderId="0" xfId="0" applyNumberFormat="1" applyFont="1" applyFill="1" applyBorder="1" applyAlignment="1" applyProtection="1">
      <alignment horizontal="center"/>
    </xf>
    <xf numFmtId="0" fontId="8" fillId="9" borderId="0" xfId="0" applyFont="1" applyFill="1" applyBorder="1" applyAlignment="1" applyProtection="1">
      <alignment horizontal="centerContinuous" vertical="center" wrapText="1"/>
    </xf>
    <xf numFmtId="0" fontId="3" fillId="9" borderId="0" xfId="0" applyFont="1" applyFill="1" applyBorder="1" applyAlignment="1" applyProtection="1">
      <alignment horizontal="centerContinuous"/>
    </xf>
    <xf numFmtId="0" fontId="8" fillId="10" borderId="0" xfId="0" applyFont="1" applyFill="1" applyBorder="1" applyAlignment="1" applyProtection="1">
      <alignment horizontal="center" vertical="center"/>
    </xf>
    <xf numFmtId="2" fontId="3" fillId="9" borderId="0" xfId="0" applyNumberFormat="1" applyFont="1" applyFill="1" applyBorder="1" applyAlignment="1" applyProtection="1">
      <alignment horizontal="center"/>
    </xf>
    <xf numFmtId="9" fontId="3" fillId="9" borderId="0" xfId="0" applyNumberFormat="1" applyFont="1" applyFill="1" applyBorder="1" applyAlignment="1" applyProtection="1">
      <alignment horizontal="center"/>
    </xf>
    <xf numFmtId="0" fontId="3" fillId="9" borderId="0" xfId="0" applyFont="1" applyFill="1" applyBorder="1" applyProtection="1"/>
    <xf numFmtId="0" fontId="3" fillId="9" borderId="8" xfId="0" applyFont="1" applyFill="1" applyBorder="1" applyAlignment="1" applyProtection="1">
      <alignment horizontal="centerContinuous"/>
    </xf>
    <xf numFmtId="2" fontId="3" fillId="9" borderId="8" xfId="0" applyNumberFormat="1" applyFont="1" applyFill="1" applyBorder="1" applyAlignment="1" applyProtection="1">
      <alignment horizontal="center"/>
    </xf>
    <xf numFmtId="0" fontId="3" fillId="9" borderId="8" xfId="0" applyFont="1" applyFill="1" applyBorder="1" applyProtection="1"/>
    <xf numFmtId="0" fontId="3" fillId="9" borderId="0" xfId="0" applyFont="1" applyFill="1" applyBorder="1" applyAlignment="1" applyProtection="1">
      <alignment horizontal="centerContinuous" vertical="center" wrapText="1"/>
    </xf>
    <xf numFmtId="0" fontId="3" fillId="11" borderId="0" xfId="0" applyFont="1" applyFill="1" applyBorder="1" applyProtection="1"/>
    <xf numFmtId="2" fontId="3" fillId="9" borderId="0" xfId="0" applyNumberFormat="1" applyFont="1" applyFill="1" applyProtection="1"/>
    <xf numFmtId="0" fontId="8" fillId="5" borderId="0" xfId="0" applyFont="1" applyFill="1" applyBorder="1" applyAlignment="1" applyProtection="1">
      <alignment horizontal="center" vertical="center" wrapText="1"/>
    </xf>
    <xf numFmtId="0" fontId="3" fillId="4" borderId="0" xfId="0" applyFont="1" applyFill="1" applyBorder="1" applyAlignment="1" applyProtection="1">
      <alignment horizontal="center" vertical="center" wrapText="1"/>
    </xf>
    <xf numFmtId="2" fontId="3" fillId="4" borderId="0" xfId="0" applyNumberFormat="1" applyFont="1" applyFill="1" applyBorder="1" applyAlignment="1" applyProtection="1"/>
    <xf numFmtId="2" fontId="3" fillId="9" borderId="0" xfId="0" applyNumberFormat="1" applyFont="1" applyFill="1" applyBorder="1" applyAlignment="1" applyProtection="1">
      <alignment horizontal="centerContinuous" vertical="center" wrapText="1"/>
    </xf>
    <xf numFmtId="167" fontId="3" fillId="9" borderId="0" xfId="0" applyNumberFormat="1" applyFont="1" applyFill="1" applyBorder="1" applyAlignment="1" applyProtection="1">
      <alignment horizontal="centerContinuous" vertical="center" wrapText="1"/>
    </xf>
    <xf numFmtId="0" fontId="8" fillId="9" borderId="0" xfId="0" applyFont="1" applyFill="1" applyAlignment="1">
      <alignment horizontal="centerContinuous" vertical="center"/>
    </xf>
    <xf numFmtId="0" fontId="22" fillId="2" borderId="0" xfId="0" applyFont="1" applyFill="1" applyBorder="1" applyAlignment="1" applyProtection="1"/>
    <xf numFmtId="0" fontId="22" fillId="5" borderId="0" xfId="0" applyFont="1" applyFill="1" applyBorder="1" applyProtection="1"/>
    <xf numFmtId="0" fontId="22" fillId="2" borderId="0" xfId="0" applyFont="1" applyFill="1" applyBorder="1" applyProtection="1"/>
    <xf numFmtId="0" fontId="22" fillId="2" borderId="0" xfId="0" applyFont="1" applyFill="1" applyProtection="1"/>
    <xf numFmtId="0" fontId="22" fillId="2" borderId="0" xfId="0" applyFont="1" applyFill="1" applyBorder="1" applyAlignment="1" applyProtection="1">
      <alignment horizontal="left"/>
    </xf>
    <xf numFmtId="167" fontId="22" fillId="2" borderId="0" xfId="0" applyNumberFormat="1" applyFont="1" applyFill="1" applyBorder="1" applyProtection="1"/>
    <xf numFmtId="167" fontId="22" fillId="2" borderId="0" xfId="0" applyNumberFormat="1" applyFont="1" applyFill="1" applyProtection="1"/>
    <xf numFmtId="0" fontId="22" fillId="5" borderId="0" xfId="0" applyFont="1" applyFill="1" applyBorder="1" applyAlignment="1" applyProtection="1">
      <alignment vertical="center"/>
    </xf>
    <xf numFmtId="0" fontId="9" fillId="5" borderId="0" xfId="0" applyFont="1" applyFill="1" applyBorder="1" applyAlignment="1" applyProtection="1">
      <alignment horizontal="centerContinuous" vertical="center"/>
    </xf>
    <xf numFmtId="167" fontId="3" fillId="5" borderId="0" xfId="0" applyNumberFormat="1" applyFont="1" applyFill="1" applyBorder="1" applyProtection="1"/>
    <xf numFmtId="0" fontId="3" fillId="12" borderId="0" xfId="0" applyFont="1" applyFill="1" applyBorder="1" applyAlignment="1" applyProtection="1">
      <alignment horizontal="right"/>
    </xf>
    <xf numFmtId="0" fontId="8" fillId="9" borderId="10" xfId="0" applyFont="1" applyFill="1" applyBorder="1" applyAlignment="1">
      <alignment horizontal="centerContinuous" vertical="center" wrapText="1"/>
    </xf>
    <xf numFmtId="0" fontId="20" fillId="9" borderId="11" xfId="0" applyFont="1" applyFill="1" applyBorder="1" applyAlignment="1">
      <alignment horizontal="centerContinuous" vertical="center" wrapText="1"/>
    </xf>
    <xf numFmtId="2" fontId="3" fillId="9" borderId="12" xfId="0" applyNumberFormat="1" applyFont="1" applyFill="1" applyBorder="1" applyAlignment="1" applyProtection="1">
      <alignment horizontal="centerContinuous" vertical="center" wrapText="1"/>
    </xf>
    <xf numFmtId="0" fontId="20" fillId="9" borderId="13" xfId="0" applyFont="1" applyFill="1" applyBorder="1" applyAlignment="1">
      <alignment horizontal="centerContinuous" vertical="center" wrapText="1"/>
    </xf>
    <xf numFmtId="167" fontId="3" fillId="9" borderId="12" xfId="0" applyNumberFormat="1" applyFont="1" applyFill="1" applyBorder="1" applyAlignment="1" applyProtection="1">
      <alignment horizontal="centerContinuous" vertical="center" wrapText="1"/>
    </xf>
    <xf numFmtId="0" fontId="3" fillId="12" borderId="0" xfId="0" applyFont="1" applyFill="1" applyBorder="1" applyProtection="1"/>
    <xf numFmtId="0" fontId="3" fillId="12" borderId="0" xfId="0" applyFont="1" applyFill="1" applyAlignment="1" applyProtection="1">
      <alignment horizontal="center"/>
    </xf>
    <xf numFmtId="0" fontId="3" fillId="6" borderId="0" xfId="0" applyFont="1" applyFill="1" applyBorder="1" applyAlignment="1" applyProtection="1">
      <alignment horizontal="centerContinuous" wrapText="1"/>
    </xf>
    <xf numFmtId="0" fontId="3" fillId="4" borderId="0" xfId="0" applyFont="1" applyFill="1" applyBorder="1" applyAlignment="1" applyProtection="1">
      <alignment horizontal="centerContinuous" wrapText="1"/>
    </xf>
    <xf numFmtId="0" fontId="3" fillId="4" borderId="0" xfId="0" applyFont="1" applyFill="1" applyBorder="1" applyAlignment="1" applyProtection="1">
      <alignment horizontal="centerContinuous" wrapText="1"/>
      <protection locked="0"/>
    </xf>
    <xf numFmtId="0" fontId="3" fillId="13" borderId="0" xfId="0" applyFont="1" applyFill="1" applyBorder="1" applyAlignment="1" applyProtection="1">
      <alignment horizontal="right"/>
    </xf>
    <xf numFmtId="0" fontId="16" fillId="5" borderId="0" xfId="0" applyFont="1" applyFill="1" applyBorder="1" applyAlignment="1" applyProtection="1">
      <alignment horizontal="centerContinuous" vertical="center"/>
    </xf>
    <xf numFmtId="0" fontId="12" fillId="5" borderId="0" xfId="0" applyFont="1" applyFill="1" applyAlignment="1" applyProtection="1">
      <alignment horizontal="centerContinuous" vertical="center"/>
    </xf>
    <xf numFmtId="0" fontId="11" fillId="5" borderId="0" xfId="0" applyFont="1" applyFill="1" applyBorder="1" applyAlignment="1" applyProtection="1">
      <alignment horizontal="centerContinuous" vertical="center"/>
    </xf>
    <xf numFmtId="0" fontId="24" fillId="2" borderId="0" xfId="0" applyFont="1" applyFill="1" applyBorder="1" applyProtection="1"/>
    <xf numFmtId="0" fontId="24" fillId="2" borderId="0" xfId="0" applyFont="1" applyFill="1" applyProtection="1"/>
    <xf numFmtId="0" fontId="3" fillId="4" borderId="0" xfId="0" applyFont="1" applyFill="1" applyBorder="1" applyAlignment="1" applyProtection="1">
      <alignment horizontal="center" vertical="center" wrapText="1"/>
    </xf>
    <xf numFmtId="0" fontId="3" fillId="0" borderId="0" xfId="0" applyFont="1" applyBorder="1" applyAlignment="1" applyProtection="1">
      <alignment vertical="center"/>
    </xf>
    <xf numFmtId="0" fontId="3" fillId="3" borderId="0" xfId="0" applyFont="1" applyFill="1" applyBorder="1" applyAlignment="1" applyProtection="1">
      <alignment vertical="center"/>
    </xf>
    <xf numFmtId="0" fontId="9" fillId="3" borderId="0" xfId="0" applyFont="1" applyFill="1" applyBorder="1" applyAlignment="1" applyProtection="1">
      <alignment vertical="center"/>
    </xf>
    <xf numFmtId="0" fontId="8" fillId="3" borderId="0" xfId="0" applyFont="1" applyFill="1" applyBorder="1" applyAlignment="1" applyProtection="1">
      <alignment vertical="center"/>
    </xf>
    <xf numFmtId="0" fontId="8" fillId="3" borderId="0" xfId="0" applyFont="1" applyFill="1" applyBorder="1" applyAlignment="1" applyProtection="1">
      <alignment horizontal="centerContinuous" vertical="center"/>
    </xf>
    <xf numFmtId="0" fontId="8" fillId="0" borderId="0" xfId="0" applyFont="1" applyBorder="1" applyAlignment="1" applyProtection="1">
      <alignment vertical="center"/>
    </xf>
    <xf numFmtId="9" fontId="3" fillId="0" borderId="1" xfId="0" applyNumberFormat="1" applyFont="1" applyFill="1" applyBorder="1" applyAlignment="1" applyProtection="1">
      <alignment horizontal="center" vertical="center"/>
      <protection locked="0"/>
    </xf>
    <xf numFmtId="0" fontId="8" fillId="3" borderId="0" xfId="0" applyFont="1" applyFill="1" applyBorder="1" applyAlignment="1" applyProtection="1">
      <alignment horizontal="left" vertical="center"/>
    </xf>
    <xf numFmtId="0" fontId="8" fillId="3" borderId="0" xfId="0" applyFont="1" applyFill="1" applyBorder="1" applyAlignment="1" applyProtection="1">
      <alignment horizontal="center" vertical="center"/>
    </xf>
    <xf numFmtId="0" fontId="8" fillId="3" borderId="14" xfId="0" applyFont="1" applyFill="1" applyBorder="1" applyAlignment="1" applyProtection="1">
      <alignment horizontal="center" vertical="center"/>
    </xf>
    <xf numFmtId="0" fontId="3" fillId="0" borderId="0" xfId="0" applyFont="1" applyBorder="1" applyAlignment="1" applyProtection="1">
      <alignment horizontal="right" vertical="center"/>
    </xf>
    <xf numFmtId="0" fontId="3" fillId="0" borderId="0" xfId="0" applyFont="1" applyBorder="1" applyAlignment="1" applyProtection="1">
      <alignment horizontal="left" vertical="center"/>
    </xf>
    <xf numFmtId="0" fontId="8" fillId="0" borderId="0" xfId="0" applyFont="1" applyBorder="1" applyAlignment="1" applyProtection="1">
      <alignment horizontal="center" vertical="center"/>
    </xf>
    <xf numFmtId="0" fontId="8" fillId="0" borderId="1" xfId="0" applyFont="1" applyFill="1" applyBorder="1" applyAlignment="1" applyProtection="1">
      <alignment horizontal="center" vertical="center"/>
      <protection locked="0"/>
    </xf>
    <xf numFmtId="0" fontId="3" fillId="0" borderId="1" xfId="0" applyFont="1" applyFill="1" applyBorder="1" applyAlignment="1" applyProtection="1">
      <alignment horizontal="center" vertical="center"/>
      <protection locked="0"/>
    </xf>
    <xf numFmtId="0" fontId="3" fillId="0" borderId="1" xfId="0" quotePrefix="1" applyFont="1" applyFill="1" applyBorder="1" applyAlignment="1" applyProtection="1">
      <alignment horizontal="center" vertical="center"/>
      <protection locked="0"/>
    </xf>
    <xf numFmtId="0" fontId="3" fillId="0" borderId="1" xfId="0" applyNumberFormat="1" applyFont="1" applyFill="1" applyBorder="1" applyAlignment="1" applyProtection="1">
      <alignment horizontal="center" vertical="center"/>
      <protection locked="0"/>
    </xf>
    <xf numFmtId="0" fontId="8" fillId="3" borderId="0" xfId="0" applyFont="1" applyFill="1" applyBorder="1" applyAlignment="1" applyProtection="1">
      <alignment horizontal="center" vertical="center" textRotation="90"/>
    </xf>
    <xf numFmtId="1" fontId="3" fillId="0" borderId="1" xfId="0" applyNumberFormat="1" applyFont="1" applyFill="1" applyBorder="1" applyAlignment="1" applyProtection="1">
      <alignment horizontal="center" vertical="center"/>
      <protection locked="0"/>
    </xf>
    <xf numFmtId="9" fontId="8" fillId="3" borderId="0" xfId="0" applyNumberFormat="1" applyFont="1" applyFill="1" applyBorder="1" applyAlignment="1" applyProtection="1">
      <alignment horizontal="left" vertical="center"/>
    </xf>
    <xf numFmtId="9" fontId="8" fillId="3" borderId="0" xfId="0" applyNumberFormat="1"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9" fontId="25" fillId="5" borderId="0" xfId="0" applyNumberFormat="1" applyFont="1" applyFill="1" applyBorder="1" applyAlignment="1" applyProtection="1">
      <alignment horizontal="centerContinuous" vertical="center"/>
    </xf>
    <xf numFmtId="9" fontId="11" fillId="5" borderId="0" xfId="0" applyNumberFormat="1" applyFont="1" applyFill="1" applyBorder="1" applyAlignment="1" applyProtection="1">
      <alignment horizontal="centerContinuous" vertical="center"/>
    </xf>
    <xf numFmtId="0" fontId="9" fillId="5" borderId="0" xfId="0" applyFont="1" applyFill="1" applyBorder="1" applyAlignment="1" applyProtection="1">
      <alignment horizontal="left" vertical="center"/>
    </xf>
    <xf numFmtId="0" fontId="10" fillId="5" borderId="0" xfId="0" applyFont="1" applyFill="1" applyBorder="1" applyAlignment="1" applyProtection="1">
      <alignment horizontal="centerContinuous" vertical="center"/>
    </xf>
    <xf numFmtId="0" fontId="9" fillId="0" borderId="0" xfId="0" applyFont="1" applyFill="1" applyBorder="1" applyAlignment="1" applyProtection="1">
      <alignment horizontal="left" vertical="center"/>
    </xf>
    <xf numFmtId="0" fontId="27" fillId="2" borderId="0" xfId="0" applyFont="1" applyFill="1" applyBorder="1" applyAlignment="1" applyProtection="1">
      <alignment vertical="center"/>
    </xf>
    <xf numFmtId="0" fontId="3" fillId="2" borderId="0" xfId="0" applyFont="1" applyFill="1" applyBorder="1" applyAlignment="1" applyProtection="1">
      <alignment horizontal="center" vertical="center"/>
    </xf>
    <xf numFmtId="0" fontId="8" fillId="2" borderId="0" xfId="0" applyFont="1" applyFill="1" applyBorder="1" applyAlignment="1" applyProtection="1">
      <alignment horizontal="left" vertical="center"/>
    </xf>
    <xf numFmtId="9" fontId="3" fillId="0" borderId="0" xfId="0" applyNumberFormat="1" applyFont="1" applyBorder="1" applyAlignment="1" applyProtection="1">
      <alignment horizontal="center" vertical="center"/>
    </xf>
    <xf numFmtId="0" fontId="8" fillId="0" borderId="0" xfId="0" applyFont="1" applyBorder="1" applyAlignment="1" applyProtection="1">
      <alignment horizontal="centerContinuous" vertical="center"/>
    </xf>
    <xf numFmtId="0" fontId="8" fillId="0" borderId="0" xfId="0" applyFont="1" applyBorder="1" applyAlignment="1" applyProtection="1">
      <alignment horizontal="right" vertical="center"/>
    </xf>
    <xf numFmtId="0" fontId="8" fillId="2" borderId="0" xfId="0" applyFont="1" applyFill="1" applyBorder="1" applyAlignment="1" applyProtection="1">
      <alignment horizontal="center" vertical="center"/>
    </xf>
    <xf numFmtId="9" fontId="8" fillId="0" borderId="0" xfId="0" applyNumberFormat="1" applyFont="1" applyBorder="1" applyAlignment="1" applyProtection="1">
      <alignment horizontal="center" vertical="center"/>
    </xf>
    <xf numFmtId="9" fontId="8" fillId="0" borderId="15" xfId="0" applyNumberFormat="1" applyFont="1" applyBorder="1" applyAlignment="1" applyProtection="1">
      <alignment horizontal="center" vertical="center"/>
    </xf>
    <xf numFmtId="0" fontId="8" fillId="2" borderId="0" xfId="0" applyFont="1" applyFill="1" applyBorder="1" applyAlignment="1" applyProtection="1">
      <alignment horizontal="center" vertical="center" textRotation="90"/>
    </xf>
    <xf numFmtId="9" fontId="29" fillId="14" borderId="0" xfId="0" applyNumberFormat="1" applyFont="1" applyFill="1" applyBorder="1" applyAlignment="1" applyProtection="1">
      <alignment horizontal="centerContinuous" vertical="center"/>
    </xf>
    <xf numFmtId="0" fontId="30" fillId="14" borderId="0" xfId="0" applyFont="1" applyFill="1" applyBorder="1" applyAlignment="1" applyProtection="1">
      <alignment horizontal="centerContinuous" vertical="center"/>
    </xf>
    <xf numFmtId="0" fontId="31" fillId="14" borderId="0" xfId="0" applyFont="1" applyFill="1" applyBorder="1" applyAlignment="1" applyProtection="1">
      <alignment horizontal="centerContinuous" vertical="center"/>
    </xf>
    <xf numFmtId="0" fontId="11" fillId="14" borderId="0" xfId="0" applyFont="1" applyFill="1" applyBorder="1" applyAlignment="1" applyProtection="1">
      <alignment horizontal="centerContinuous" vertical="center"/>
    </xf>
    <xf numFmtId="0" fontId="8" fillId="7" borderId="0" xfId="0" applyFont="1" applyFill="1" applyBorder="1" applyAlignment="1" applyProtection="1">
      <alignment horizontal="center" vertical="center"/>
    </xf>
    <xf numFmtId="0" fontId="8" fillId="15" borderId="0" xfId="0" applyFont="1" applyFill="1" applyBorder="1" applyAlignment="1" applyProtection="1">
      <alignment horizontal="center" vertical="center"/>
    </xf>
    <xf numFmtId="0" fontId="3" fillId="0" borderId="0" xfId="0" applyFont="1" applyBorder="1" applyAlignment="1" applyProtection="1">
      <alignment horizontal="center" vertical="center"/>
    </xf>
    <xf numFmtId="2" fontId="3" fillId="0" borderId="0" xfId="0" applyNumberFormat="1" applyFont="1" applyBorder="1" applyAlignment="1" applyProtection="1">
      <alignment horizontal="center" vertical="center"/>
    </xf>
    <xf numFmtId="0" fontId="3" fillId="15" borderId="0" xfId="0" applyFont="1" applyFill="1" applyBorder="1" applyAlignment="1" applyProtection="1">
      <alignment horizontal="center" vertical="center"/>
    </xf>
    <xf numFmtId="0" fontId="8" fillId="0" borderId="0" xfId="0" applyFont="1" applyBorder="1" applyAlignment="1" applyProtection="1">
      <alignment horizontal="left" vertical="center"/>
    </xf>
    <xf numFmtId="2" fontId="8" fillId="0" borderId="0" xfId="0" applyNumberFormat="1" applyFont="1" applyBorder="1" applyAlignment="1" applyProtection="1">
      <alignment horizontal="center" vertical="center"/>
    </xf>
    <xf numFmtId="0" fontId="9" fillId="2" borderId="0" xfId="0" applyFont="1" applyFill="1" applyBorder="1" applyAlignment="1" applyProtection="1">
      <alignment vertical="center"/>
    </xf>
    <xf numFmtId="0" fontId="9" fillId="0" borderId="0" xfId="0" applyFont="1" applyBorder="1" applyAlignment="1" applyProtection="1">
      <alignment vertical="center"/>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xf>
    <xf numFmtId="9" fontId="33" fillId="0" borderId="0" xfId="0" applyNumberFormat="1" applyFont="1" applyBorder="1" applyAlignment="1" applyProtection="1">
      <alignment horizontal="center" vertical="center"/>
    </xf>
    <xf numFmtId="0" fontId="34" fillId="0" borderId="0" xfId="0" applyFont="1" applyBorder="1" applyAlignment="1" applyProtection="1">
      <alignment horizontal="right" vertical="center"/>
    </xf>
    <xf numFmtId="0" fontId="3" fillId="4" borderId="0" xfId="0" applyFont="1" applyFill="1" applyBorder="1" applyAlignment="1" applyProtection="1">
      <alignment vertical="center" wrapText="1"/>
    </xf>
    <xf numFmtId="0" fontId="0" fillId="0" borderId="0" xfId="0" applyAlignment="1">
      <alignment vertical="center" wrapText="1"/>
    </xf>
    <xf numFmtId="0" fontId="0" fillId="0" borderId="9" xfId="0" applyBorder="1" applyAlignment="1">
      <alignment vertical="center" wrapText="1"/>
    </xf>
    <xf numFmtId="0" fontId="3" fillId="9" borderId="8" xfId="0" applyFont="1" applyFill="1" applyBorder="1" applyAlignment="1" applyProtection="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23" fillId="11" borderId="0" xfId="0" applyFont="1" applyFill="1" applyAlignment="1">
      <alignment horizontal="left" vertical="center" wrapText="1" indent="2"/>
    </xf>
    <xf numFmtId="0" fontId="21" fillId="0" borderId="0" xfId="0" applyFont="1" applyAlignment="1">
      <alignment horizontal="left" vertical="center" wrapText="1" indent="2"/>
    </xf>
    <xf numFmtId="0" fontId="10" fillId="2" borderId="0" xfId="0" applyFont="1" applyFill="1" applyBorder="1" applyAlignment="1" applyProtection="1">
      <alignment horizontal="center" vertical="center" textRotation="90" wrapText="1"/>
    </xf>
    <xf numFmtId="0" fontId="7" fillId="0" borderId="0" xfId="0" applyFont="1" applyAlignment="1" applyProtection="1">
      <alignment horizontal="center" vertical="center" textRotation="90" wrapText="1"/>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10" fillId="3" borderId="0" xfId="0" applyFont="1" applyFill="1" applyBorder="1" applyAlignment="1" applyProtection="1">
      <alignment horizontal="center" vertical="center" textRotation="90"/>
    </xf>
    <xf numFmtId="0" fontId="0" fillId="0" borderId="0" xfId="0" applyAlignment="1"/>
    <xf numFmtId="0" fontId="8" fillId="7" borderId="6" xfId="0" applyFont="1" applyFill="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7" xfId="0" applyFont="1" applyBorder="1" applyAlignment="1" applyProtection="1">
      <alignment horizontal="center"/>
      <protection locked="0"/>
    </xf>
    <xf numFmtId="0" fontId="8" fillId="7" borderId="5" xfId="0" applyFont="1" applyFill="1" applyBorder="1" applyAlignment="1" applyProtection="1">
      <alignment horizontal="center"/>
      <protection locked="0"/>
    </xf>
    <xf numFmtId="0" fontId="8" fillId="7" borderId="7" xfId="0" applyFont="1" applyFill="1" applyBorder="1" applyAlignment="1" applyProtection="1">
      <alignment horizontal="center"/>
      <protection locked="0"/>
    </xf>
    <xf numFmtId="0" fontId="8" fillId="4" borderId="0" xfId="0" applyFont="1" applyFill="1" applyBorder="1" applyAlignment="1" applyProtection="1">
      <alignment horizontal="center"/>
    </xf>
    <xf numFmtId="9" fontId="3" fillId="7" borderId="6" xfId="0" applyNumberFormat="1" applyFont="1" applyFill="1" applyBorder="1" applyAlignment="1" applyProtection="1">
      <alignment horizontal="center" vertical="center" wrapText="1"/>
      <protection locked="0"/>
    </xf>
    <xf numFmtId="9" fontId="3" fillId="7" borderId="7" xfId="0" applyNumberFormat="1" applyFont="1" applyFill="1" applyBorder="1" applyAlignment="1" applyProtection="1">
      <alignment horizontal="center" vertical="center" wrapText="1"/>
      <protection locked="0"/>
    </xf>
    <xf numFmtId="9" fontId="3" fillId="7" borderId="5" xfId="0" applyNumberFormat="1" applyFont="1" applyFill="1" applyBorder="1" applyAlignment="1" applyProtection="1">
      <alignment horizontal="center" vertical="center" wrapText="1"/>
      <protection locked="0"/>
    </xf>
    <xf numFmtId="0" fontId="23" fillId="11" borderId="0" xfId="0" applyFont="1" applyFill="1" applyBorder="1" applyAlignment="1" applyProtection="1">
      <alignment horizontal="left" vertical="center" wrapText="1" indent="4"/>
    </xf>
    <xf numFmtId="0" fontId="32" fillId="11" borderId="0" xfId="0" applyFont="1" applyFill="1" applyAlignment="1">
      <alignment horizontal="left" vertical="center" wrapText="1" indent="4"/>
    </xf>
    <xf numFmtId="0" fontId="8" fillId="7" borderId="6" xfId="0" applyFont="1" applyFill="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8" fillId="3" borderId="0" xfId="0" applyFont="1" applyFill="1" applyBorder="1" applyAlignment="1" applyProtection="1">
      <alignment horizontal="center" vertical="center" textRotation="90"/>
    </xf>
    <xf numFmtId="0" fontId="8" fillId="3" borderId="0" xfId="0" applyFont="1" applyFill="1" applyBorder="1" applyAlignment="1" applyProtection="1">
      <alignment horizontal="center" vertical="center"/>
    </xf>
    <xf numFmtId="0" fontId="26" fillId="2" borderId="0" xfId="0" applyFont="1" applyFill="1" applyBorder="1" applyAlignment="1" applyProtection="1">
      <alignment horizontal="center" vertical="center" textRotation="90"/>
    </xf>
    <xf numFmtId="0" fontId="0" fillId="0" borderId="0" xfId="0" applyAlignment="1" applyProtection="1">
      <alignment vertical="center"/>
    </xf>
    <xf numFmtId="0" fontId="10" fillId="2" borderId="0" xfId="0" applyFont="1" applyFill="1" applyBorder="1" applyAlignment="1" applyProtection="1">
      <alignment horizontal="center" vertical="center" textRotation="90"/>
    </xf>
    <xf numFmtId="0" fontId="28" fillId="0" borderId="0" xfId="0" applyFont="1" applyAlignment="1" applyProtection="1">
      <alignment vertical="center"/>
    </xf>
    <xf numFmtId="0" fontId="26" fillId="15" borderId="0" xfId="0" applyFont="1" applyFill="1" applyBorder="1" applyAlignment="1" applyProtection="1">
      <alignment horizontal="center" vertical="center" textRotation="90"/>
    </xf>
    <xf numFmtId="0" fontId="0" fillId="0" borderId="0" xfId="0" applyBorder="1" applyAlignment="1" applyProtection="1">
      <alignment horizontal="center" vertical="center" textRotation="90"/>
    </xf>
    <xf numFmtId="0" fontId="10" fillId="15" borderId="0" xfId="0" applyFont="1" applyFill="1" applyBorder="1" applyAlignment="1" applyProtection="1">
      <alignment horizontal="center" vertical="center" textRotation="90"/>
    </xf>
    <xf numFmtId="0" fontId="28" fillId="0" borderId="0" xfId="0" applyFont="1" applyBorder="1" applyAlignment="1" applyProtection="1">
      <alignment horizontal="center" vertical="center" textRotation="90"/>
    </xf>
    <xf numFmtId="0" fontId="8" fillId="0" borderId="0" xfId="0" applyFont="1" applyBorder="1" applyAlignment="1" applyProtection="1">
      <alignment horizontal="center" vertical="center"/>
    </xf>
    <xf numFmtId="9" fontId="3" fillId="7" borderId="3" xfId="0" applyNumberFormat="1" applyFont="1" applyFill="1" applyBorder="1" applyAlignment="1" applyProtection="1">
      <alignment horizontal="center"/>
      <protection locked="0"/>
    </xf>
  </cellXfs>
  <cellStyles count="4">
    <cellStyle name="Currency" xfId="1" builtinId="4"/>
    <cellStyle name="Normal" xfId="0" builtinId="0"/>
    <cellStyle name="Normal_SEG-SUMMARY template" xfId="2" xr:uid="{00000000-0005-0000-0000-000002000000}"/>
    <cellStyle name="Normal_ViU Calculator v2.3" xfId="3" xr:uid="{00000000-0005-0000-0000-000003000000}"/>
  </cellStyles>
  <dxfs count="108">
    <dxf>
      <font>
        <b/>
        <i val="0"/>
        <condense val="0"/>
        <extend val="0"/>
        <color indexed="10"/>
      </font>
    </dxf>
    <dxf>
      <font>
        <condense val="0"/>
        <extend val="0"/>
        <color indexed="10"/>
      </font>
    </dxf>
    <dxf>
      <font>
        <condense val="0"/>
        <extend val="0"/>
        <color indexed="10"/>
      </font>
      <fill>
        <patternFill patternType="none">
          <bgColor indexed="65"/>
        </patternFill>
      </fill>
    </dxf>
    <dxf>
      <border>
        <left/>
        <right/>
        <top/>
        <bottom/>
      </border>
    </dxf>
    <dxf>
      <font>
        <b/>
        <i val="0"/>
        <condense val="0"/>
        <extend val="0"/>
        <color indexed="11"/>
      </font>
      <border>
        <left/>
        <right/>
        <top/>
        <bottom/>
      </border>
    </dxf>
    <dxf>
      <font>
        <b/>
        <i val="0"/>
        <condense val="0"/>
        <extend val="0"/>
        <color indexed="10"/>
      </font>
      <fill>
        <patternFill>
          <bgColor indexed="9"/>
        </patternFill>
      </fill>
      <border>
        <left/>
        <right/>
        <top/>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ndense val="0"/>
        <extend val="0"/>
        <color indexed="42"/>
      </font>
      <fill>
        <patternFill>
          <bgColor indexed="42"/>
        </patternFill>
      </fill>
    </dxf>
    <dxf>
      <font>
        <condense val="0"/>
        <extend val="0"/>
        <color indexed="42"/>
      </font>
      <fill>
        <patternFill>
          <bgColor indexed="42"/>
        </patternFill>
      </fill>
    </dxf>
    <dxf>
      <font>
        <condense val="0"/>
        <extend val="0"/>
        <color indexed="42"/>
      </font>
      <fill>
        <patternFill>
          <bgColor indexed="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6"/>
      </font>
      <fill>
        <patternFill>
          <bgColor indexed="26"/>
        </patternFill>
      </fill>
      <border>
        <left/>
        <right/>
        <top/>
        <bottom/>
      </border>
    </dxf>
    <dxf>
      <font>
        <condense val="0"/>
        <extend val="0"/>
        <color indexed="26"/>
      </font>
      <fill>
        <patternFill>
          <bgColor indexed="26"/>
        </patternFill>
      </fill>
    </dxf>
    <dxf>
      <font>
        <condense val="0"/>
        <extend val="0"/>
        <color indexed="26"/>
      </font>
      <fill>
        <patternFill>
          <bgColor indexed="26"/>
        </patternFill>
      </fill>
      <border>
        <left/>
        <right/>
        <top/>
        <bottom/>
      </border>
    </dxf>
    <dxf>
      <font>
        <condense val="0"/>
        <extend val="0"/>
        <color indexed="42"/>
      </font>
      <fill>
        <patternFill>
          <bgColor indexed="42"/>
        </patternFill>
      </fill>
      <border>
        <left/>
        <right/>
        <top/>
        <bottom/>
      </border>
    </dxf>
    <dxf>
      <font>
        <condense val="0"/>
        <extend val="0"/>
        <color indexed="42"/>
      </font>
      <fill>
        <patternFill>
          <bgColor indexed="42"/>
        </patternFill>
      </fill>
    </dxf>
    <dxf>
      <font>
        <condense val="0"/>
        <extend val="0"/>
        <color indexed="26"/>
      </font>
      <fill>
        <patternFill>
          <bgColor indexed="26"/>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ndense val="0"/>
        <extend val="0"/>
        <color indexed="42"/>
      </font>
      <fill>
        <patternFill>
          <bgColor indexed="42"/>
        </patternFill>
      </fill>
    </dxf>
    <dxf>
      <font>
        <condense val="0"/>
        <extend val="0"/>
        <color indexed="42"/>
      </font>
      <fill>
        <patternFill>
          <bgColor indexed="42"/>
        </patternFill>
      </fill>
    </dxf>
    <dxf>
      <font>
        <condense val="0"/>
        <extend val="0"/>
        <color indexed="42"/>
      </font>
      <fill>
        <patternFill>
          <bgColor indexed="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6"/>
      </font>
      <fill>
        <patternFill>
          <bgColor indexed="26"/>
        </patternFill>
      </fill>
      <border>
        <left/>
        <right/>
        <top/>
        <bottom/>
      </border>
    </dxf>
    <dxf>
      <font>
        <condense val="0"/>
        <extend val="0"/>
        <color indexed="26"/>
      </font>
      <fill>
        <patternFill>
          <bgColor indexed="26"/>
        </patternFill>
      </fill>
    </dxf>
    <dxf>
      <font>
        <condense val="0"/>
        <extend val="0"/>
        <color indexed="26"/>
      </font>
      <fill>
        <patternFill>
          <bgColor indexed="26"/>
        </patternFill>
      </fill>
      <border>
        <left/>
        <right/>
        <top/>
        <bottom/>
      </border>
    </dxf>
    <dxf>
      <font>
        <condense val="0"/>
        <extend val="0"/>
        <color indexed="42"/>
      </font>
      <fill>
        <patternFill>
          <bgColor indexed="42"/>
        </patternFill>
      </fill>
      <border>
        <left/>
        <right/>
        <top/>
        <bottom/>
      </border>
    </dxf>
    <dxf>
      <font>
        <condense val="0"/>
        <extend val="0"/>
        <color indexed="42"/>
      </font>
      <fill>
        <patternFill>
          <bgColor indexed="42"/>
        </patternFill>
      </fill>
    </dxf>
    <dxf>
      <font>
        <condense val="0"/>
        <extend val="0"/>
        <color indexed="26"/>
      </font>
      <fill>
        <patternFill>
          <bgColor indexed="26"/>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condense val="0"/>
        <extend val="0"/>
        <color indexed="10"/>
      </font>
      <fill>
        <patternFill patternType="none">
          <bgColor indexed="65"/>
        </patternFill>
      </fill>
    </dxf>
    <dxf>
      <border>
        <left/>
        <right/>
        <top/>
        <bottom/>
      </border>
    </dxf>
    <dxf>
      <font>
        <b/>
        <i val="0"/>
        <condense val="0"/>
        <extend val="0"/>
        <color indexed="11"/>
      </font>
      <border>
        <left/>
        <right/>
        <top/>
        <bottom/>
      </border>
    </dxf>
    <dxf>
      <font>
        <b/>
        <i val="0"/>
        <condense val="0"/>
        <extend val="0"/>
        <color indexed="10"/>
      </font>
      <fill>
        <patternFill>
          <bgColor indexed="9"/>
        </patternFill>
      </fill>
      <border>
        <left/>
        <right/>
        <top/>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ndense val="0"/>
        <extend val="0"/>
        <color indexed="42"/>
      </font>
      <fill>
        <patternFill>
          <bgColor indexed="42"/>
        </patternFill>
      </fill>
    </dxf>
    <dxf>
      <font>
        <condense val="0"/>
        <extend val="0"/>
        <color indexed="42"/>
      </font>
      <fill>
        <patternFill>
          <bgColor indexed="42"/>
        </patternFill>
      </fill>
    </dxf>
    <dxf>
      <font>
        <condense val="0"/>
        <extend val="0"/>
        <color indexed="42"/>
      </font>
      <fill>
        <patternFill>
          <bgColor indexed="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6"/>
      </font>
      <fill>
        <patternFill>
          <bgColor indexed="26"/>
        </patternFill>
      </fill>
      <border>
        <left/>
        <right/>
        <top/>
        <bottom/>
      </border>
    </dxf>
    <dxf>
      <font>
        <condense val="0"/>
        <extend val="0"/>
        <color indexed="26"/>
      </font>
      <fill>
        <patternFill>
          <bgColor indexed="26"/>
        </patternFill>
      </fill>
    </dxf>
    <dxf>
      <font>
        <condense val="0"/>
        <extend val="0"/>
        <color indexed="26"/>
      </font>
      <fill>
        <patternFill>
          <bgColor indexed="26"/>
        </patternFill>
      </fill>
      <border>
        <left/>
        <right/>
        <top/>
        <bottom/>
      </border>
    </dxf>
    <dxf>
      <font>
        <condense val="0"/>
        <extend val="0"/>
        <color indexed="42"/>
      </font>
      <fill>
        <patternFill>
          <bgColor indexed="42"/>
        </patternFill>
      </fill>
      <border>
        <left/>
        <right/>
        <top/>
        <bottom/>
      </border>
    </dxf>
    <dxf>
      <font>
        <condense val="0"/>
        <extend val="0"/>
        <color indexed="42"/>
      </font>
      <fill>
        <patternFill>
          <bgColor indexed="42"/>
        </patternFill>
      </fill>
    </dxf>
    <dxf>
      <font>
        <condense val="0"/>
        <extend val="0"/>
        <color indexed="26"/>
      </font>
      <fill>
        <patternFill>
          <bgColor indexed="26"/>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FF00"/>
      <color rgb="FF66FF33"/>
      <color rgb="FFFFFFCC"/>
      <color rgb="FFCCFFCC"/>
      <color rgb="FF99FF99"/>
      <color rgb="FFCCFFFF"/>
      <color rgb="FF0033CC"/>
      <color rgb="FF0066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09476309226933"/>
          <c:y val="9.4405594405594401E-2"/>
          <c:w val="0.77556109725685785"/>
          <c:h val="0.78846153846153844"/>
        </c:manualLayout>
      </c:layout>
      <c:barChart>
        <c:barDir val="bar"/>
        <c:grouping val="clustered"/>
        <c:varyColors val="0"/>
        <c:ser>
          <c:idx val="0"/>
          <c:order val="0"/>
          <c:tx>
            <c:strRef>
              <c:f>'CALCULATE 00'!$X$60</c:f>
              <c:strCache>
                <c:ptCount val="1"/>
                <c:pt idx="0">
                  <c:v>CONVERTER BENEFITS - ON 1KT BUSINESS</c:v>
                </c:pt>
              </c:strCache>
            </c:strRef>
          </c:tx>
          <c:spPr>
            <a:solidFill>
              <a:srgbClr val="66FF33"/>
            </a:solidFill>
          </c:spPr>
          <c:invertIfNegative val="0"/>
          <c:dLbls>
            <c:dLbl>
              <c:idx val="0"/>
              <c:layout>
                <c:manualLayout>
                  <c:x val="-0.19430485762144054"/>
                  <c:y val="1.97823936696340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19-453D-A23F-87B8CC8CF6C9}"/>
                </c:ext>
              </c:extLst>
            </c:dLbl>
            <c:dLbl>
              <c:idx val="1"/>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19-453D-A23F-87B8CC8CF6C9}"/>
                </c:ext>
              </c:extLst>
            </c:dLbl>
            <c:dLbl>
              <c:idx val="2"/>
              <c:layout>
                <c:manualLayout>
                  <c:x val="-0.1105527638190954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719-453D-A23F-87B8CC8CF6C9}"/>
                </c:ext>
              </c:extLst>
            </c:dLbl>
            <c:spPr>
              <a:solidFill>
                <a:schemeClr val="bg1"/>
              </a:solidFill>
              <a:ln w="19050">
                <a:solidFill>
                  <a:srgbClr val="006600"/>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'CALCULATE 00'!$W$61:$W$63</c:f>
              <c:strCache>
                <c:ptCount val="3"/>
                <c:pt idx="0">
                  <c:v>CONVERTER SELLS @ CONSTANT USD/TON (1500 USD/TON = 110.135USD per 1000 sq m)</c:v>
                </c:pt>
                <c:pt idx="1">
                  <c:v>CONVERTER SELLS @ CONSTANT USD per 1000 sq m (137.534 USD per 1000 sq m = 1873.16USD/TON)</c:v>
                </c:pt>
                <c:pt idx="2">
                  <c:v>CONVERTER SELLS @ TARGET PRICE (2000 USD/TON = 146.847USD per 1000 sq m)</c:v>
                </c:pt>
              </c:strCache>
            </c:strRef>
          </c:cat>
          <c:val>
            <c:numRef>
              <c:f>'CALCULATE 00'!$X$61:$X$63</c:f>
              <c:numCache>
                <c:formatCode>0.000</c:formatCode>
                <c:ptCount val="3"/>
                <c:pt idx="0">
                  <c:v>0</c:v>
                </c:pt>
                <c:pt idx="1">
                  <c:v>0.373</c:v>
                </c:pt>
                <c:pt idx="2">
                  <c:v>0.5</c:v>
                </c:pt>
              </c:numCache>
            </c:numRef>
          </c:val>
          <c:extLst>
            <c:ext xmlns:c16="http://schemas.microsoft.com/office/drawing/2014/chart" uri="{C3380CC4-5D6E-409C-BE32-E72D297353CC}">
              <c16:uniqueId val="{00000003-7719-453D-A23F-87B8CC8CF6C9}"/>
            </c:ext>
          </c:extLst>
        </c:ser>
        <c:ser>
          <c:idx val="1"/>
          <c:order val="1"/>
          <c:tx>
            <c:strRef>
              <c:f>'CALCULATE 00'!$Y$60</c:f>
              <c:strCache>
                <c:ptCount val="1"/>
                <c:pt idx="0">
                  <c:v>DOWNSTREAM PLAYERS BENEFITS - BUYING SAME sq m</c:v>
                </c:pt>
              </c:strCache>
            </c:strRef>
          </c:tx>
          <c:spPr>
            <a:solidFill>
              <a:srgbClr val="00FFFF"/>
            </a:solidFill>
          </c:spPr>
          <c:invertIfNegative val="0"/>
          <c:dLbls>
            <c:dLbl>
              <c:idx val="0"/>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719-453D-A23F-87B8CC8CF6C9}"/>
                </c:ext>
              </c:extLst>
            </c:dLbl>
            <c:dLbl>
              <c:idx val="2"/>
              <c:layout>
                <c:manualLayout>
                  <c:x val="-0.134003350083752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719-453D-A23F-87B8CC8CF6C9}"/>
                </c:ext>
              </c:extLst>
            </c:dLbl>
            <c:spPr>
              <a:solidFill>
                <a:schemeClr val="bg1"/>
              </a:solidFill>
              <a:ln w="19050">
                <a:solidFill>
                  <a:srgbClr val="0033CC"/>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'CALCULATE 00'!$W$61:$W$63</c:f>
              <c:strCache>
                <c:ptCount val="3"/>
                <c:pt idx="0">
                  <c:v>CONVERTER SELLS @ CONSTANT USD/TON (1500 USD/TON = 110.135USD per 1000 sq m)</c:v>
                </c:pt>
                <c:pt idx="1">
                  <c:v>CONVERTER SELLS @ CONSTANT USD per 1000 sq m (137.534 USD per 1000 sq m = 1873.16USD/TON)</c:v>
                </c:pt>
                <c:pt idx="2">
                  <c:v>CONVERTER SELLS @ TARGET PRICE (2000 USD/TON = 146.847USD per 1000 sq m)</c:v>
                </c:pt>
              </c:strCache>
            </c:strRef>
          </c:cat>
          <c:val>
            <c:numRef>
              <c:f>'CALCULATE 00'!$Y$61:$Y$63</c:f>
              <c:numCache>
                <c:formatCode>0.000</c:formatCode>
                <c:ptCount val="3"/>
                <c:pt idx="0">
                  <c:v>0.38100000000000001</c:v>
                </c:pt>
                <c:pt idx="1">
                  <c:v>0</c:v>
                </c:pt>
                <c:pt idx="2">
                  <c:v>-0.12994520547945204</c:v>
                </c:pt>
              </c:numCache>
            </c:numRef>
          </c:val>
          <c:extLst>
            <c:ext xmlns:c16="http://schemas.microsoft.com/office/drawing/2014/chart" uri="{C3380CC4-5D6E-409C-BE32-E72D297353CC}">
              <c16:uniqueId val="{00000006-7719-453D-A23F-87B8CC8CF6C9}"/>
            </c:ext>
          </c:extLst>
        </c:ser>
        <c:dLbls>
          <c:showLegendKey val="0"/>
          <c:showVal val="1"/>
          <c:showCatName val="0"/>
          <c:showSerName val="0"/>
          <c:showPercent val="0"/>
          <c:showBubbleSize val="0"/>
        </c:dLbls>
        <c:gapWidth val="150"/>
        <c:axId val="756489624"/>
        <c:axId val="756490408"/>
      </c:barChart>
      <c:catAx>
        <c:axId val="756489624"/>
        <c:scaling>
          <c:orientation val="maxMin"/>
        </c:scaling>
        <c:delete val="0"/>
        <c:axPos val="l"/>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756490408"/>
        <c:crosses val="autoZero"/>
        <c:auto val="1"/>
        <c:lblAlgn val="ctr"/>
        <c:lblOffset val="100"/>
        <c:tickLblSkip val="1"/>
        <c:tickMarkSkip val="1"/>
        <c:noMultiLvlLbl val="0"/>
      </c:catAx>
      <c:valAx>
        <c:axId val="756490408"/>
        <c:scaling>
          <c:orientation val="minMax"/>
        </c:scaling>
        <c:delete val="0"/>
        <c:axPos val="t"/>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756489624"/>
        <c:crosses val="autoZero"/>
        <c:crossBetween val="between"/>
      </c:valAx>
      <c:spPr>
        <a:noFill/>
        <a:ln w="12700">
          <a:solidFill>
            <a:srgbClr val="00000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09476309226933"/>
          <c:y val="9.4405594405594401E-2"/>
          <c:w val="0.77556109725685785"/>
          <c:h val="0.78846153846153844"/>
        </c:manualLayout>
      </c:layout>
      <c:barChart>
        <c:barDir val="bar"/>
        <c:grouping val="clustered"/>
        <c:varyColors val="0"/>
        <c:ser>
          <c:idx val="0"/>
          <c:order val="0"/>
          <c:tx>
            <c:strRef>
              <c:f>'#1 GAUGE EXAMPLE'!$X$60</c:f>
              <c:strCache>
                <c:ptCount val="1"/>
                <c:pt idx="0">
                  <c:v>CONVERTER BENEFITS - ON 1KT BUSINESS</c:v>
                </c:pt>
              </c:strCache>
            </c:strRef>
          </c:tx>
          <c:spPr>
            <a:solidFill>
              <a:srgbClr val="66FF33"/>
            </a:solidFill>
          </c:spPr>
          <c:invertIfNegative val="0"/>
          <c:dLbls>
            <c:dLbl>
              <c:idx val="0"/>
              <c:layout>
                <c:manualLayout>
                  <c:x val="-0.19430485762144054"/>
                  <c:y val="1.97823936696340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34-409E-8FB9-D24C345BD20E}"/>
                </c:ext>
              </c:extLst>
            </c:dLbl>
            <c:dLbl>
              <c:idx val="1"/>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34-409E-8FB9-D24C345BD20E}"/>
                </c:ext>
              </c:extLst>
            </c:dLbl>
            <c:dLbl>
              <c:idx val="2"/>
              <c:layout>
                <c:manualLayout>
                  <c:x val="-0.1105527638190954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834-409E-8FB9-D24C345BD20E}"/>
                </c:ext>
              </c:extLst>
            </c:dLbl>
            <c:spPr>
              <a:solidFill>
                <a:schemeClr val="bg1"/>
              </a:solidFill>
              <a:ln w="19050">
                <a:solidFill>
                  <a:srgbClr val="006600"/>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GAUGE EXAMPLE'!$W$61:$W$63</c:f>
              <c:strCache>
                <c:ptCount val="3"/>
                <c:pt idx="0">
                  <c:v>CONVERTER SELLS @ CONSTANT $/TON (1586.33 $/TON = 95.674$ per 1000 sq m)</c:v>
                </c:pt>
                <c:pt idx="1">
                  <c:v>CONVERTER SELLS @ CONSTANT $ per 1000 sq m (110.699 $ per 1000 sq m = 1835.47$/TON)</c:v>
                </c:pt>
                <c:pt idx="2">
                  <c:v>CONVERTER SELLS @ TARGET PRICE (1725 $/TON = 104.037$ per 1000 sq m)</c:v>
                </c:pt>
              </c:strCache>
            </c:strRef>
          </c:cat>
          <c:val>
            <c:numRef>
              <c:f>'#1 GAUGE EXAMPLE'!$X$61:$X$63</c:f>
              <c:numCache>
                <c:formatCode>0.000</c:formatCode>
                <c:ptCount val="3"/>
                <c:pt idx="0">
                  <c:v>-5.3161643800000005E-2</c:v>
                </c:pt>
                <c:pt idx="1">
                  <c:v>0.19583835620000001</c:v>
                </c:pt>
                <c:pt idx="2">
                  <c:v>8.5838356200000007E-2</c:v>
                </c:pt>
              </c:numCache>
            </c:numRef>
          </c:val>
          <c:extLst>
            <c:ext xmlns:c16="http://schemas.microsoft.com/office/drawing/2014/chart" uri="{C3380CC4-5D6E-409C-BE32-E72D297353CC}">
              <c16:uniqueId val="{00000003-F834-409E-8FB9-D24C345BD20E}"/>
            </c:ext>
          </c:extLst>
        </c:ser>
        <c:ser>
          <c:idx val="1"/>
          <c:order val="1"/>
          <c:tx>
            <c:strRef>
              <c:f>'#1 GAUGE EXAMPLE'!$Y$60</c:f>
              <c:strCache>
                <c:ptCount val="1"/>
                <c:pt idx="0">
                  <c:v>DOWNSTREAM PLAYERS BENEFITS - BUYING SAME sq m</c:v>
                </c:pt>
              </c:strCache>
            </c:strRef>
          </c:tx>
          <c:spPr>
            <a:solidFill>
              <a:srgbClr val="00FFFF"/>
            </a:solidFill>
          </c:spPr>
          <c:invertIfNegative val="0"/>
          <c:dLbls>
            <c:dLbl>
              <c:idx val="0"/>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834-409E-8FB9-D24C345BD20E}"/>
                </c:ext>
              </c:extLst>
            </c:dLbl>
            <c:dLbl>
              <c:idx val="2"/>
              <c:layout>
                <c:manualLayout>
                  <c:x val="-0.134003350083752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834-409E-8FB9-D24C345BD20E}"/>
                </c:ext>
              </c:extLst>
            </c:dLbl>
            <c:spPr>
              <a:solidFill>
                <a:schemeClr val="bg1"/>
              </a:solidFill>
              <a:ln w="19050">
                <a:solidFill>
                  <a:srgbClr val="0033CC"/>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GAUGE EXAMPLE'!$W$61:$W$63</c:f>
              <c:strCache>
                <c:ptCount val="3"/>
                <c:pt idx="0">
                  <c:v>CONVERTER SELLS @ CONSTANT $/TON (1586.33 $/TON = 95.674$ per 1000 sq m)</c:v>
                </c:pt>
                <c:pt idx="1">
                  <c:v>CONVERTER SELLS @ CONSTANT $ per 1000 sq m (110.699 $ per 1000 sq m = 1835.47$/TON)</c:v>
                </c:pt>
                <c:pt idx="2">
                  <c:v>CONVERTER SELLS @ TARGET PRICE (1725 $/TON = 104.037$ per 1000 sq m)</c:v>
                </c:pt>
              </c:strCache>
            </c:strRef>
          </c:cat>
          <c:val>
            <c:numRef>
              <c:f>'#1 GAUGE EXAMPLE'!$Y$61:$Y$63</c:f>
              <c:numCache>
                <c:formatCode>0.000</c:formatCode>
                <c:ptCount val="3"/>
                <c:pt idx="0">
                  <c:v>0.23299999999999998</c:v>
                </c:pt>
                <c:pt idx="1">
                  <c:v>0</c:v>
                </c:pt>
                <c:pt idx="2">
                  <c:v>0.10306849315068493</c:v>
                </c:pt>
              </c:numCache>
            </c:numRef>
          </c:val>
          <c:extLst>
            <c:ext xmlns:c16="http://schemas.microsoft.com/office/drawing/2014/chart" uri="{C3380CC4-5D6E-409C-BE32-E72D297353CC}">
              <c16:uniqueId val="{00000006-F834-409E-8FB9-D24C345BD20E}"/>
            </c:ext>
          </c:extLst>
        </c:ser>
        <c:dLbls>
          <c:showLegendKey val="0"/>
          <c:showVal val="1"/>
          <c:showCatName val="0"/>
          <c:showSerName val="0"/>
          <c:showPercent val="0"/>
          <c:showBubbleSize val="0"/>
        </c:dLbls>
        <c:gapWidth val="150"/>
        <c:axId val="756492368"/>
        <c:axId val="756492760"/>
      </c:barChart>
      <c:catAx>
        <c:axId val="756492368"/>
        <c:scaling>
          <c:orientation val="maxMin"/>
        </c:scaling>
        <c:delete val="0"/>
        <c:axPos val="l"/>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756492760"/>
        <c:crosses val="autoZero"/>
        <c:auto val="1"/>
        <c:lblAlgn val="ctr"/>
        <c:lblOffset val="100"/>
        <c:tickLblSkip val="1"/>
        <c:tickMarkSkip val="1"/>
        <c:noMultiLvlLbl val="0"/>
      </c:catAx>
      <c:valAx>
        <c:axId val="756492760"/>
        <c:scaling>
          <c:orientation val="minMax"/>
        </c:scaling>
        <c:delete val="0"/>
        <c:axPos val="t"/>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756492368"/>
        <c:crosses val="autoZero"/>
        <c:crossBetween val="between"/>
      </c:valAx>
      <c:spPr>
        <a:noFill/>
        <a:ln w="12700">
          <a:solidFill>
            <a:srgbClr val="00000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09476309226933"/>
          <c:y val="9.4405594405594401E-2"/>
          <c:w val="0.77556109725685785"/>
          <c:h val="0.78846153846153844"/>
        </c:manualLayout>
      </c:layout>
      <c:barChart>
        <c:barDir val="bar"/>
        <c:grouping val="clustered"/>
        <c:varyColors val="0"/>
        <c:ser>
          <c:idx val="0"/>
          <c:order val="0"/>
          <c:tx>
            <c:strRef>
              <c:f>'#2 GAUGE+PERF CALC'!$X$60</c:f>
              <c:strCache>
                <c:ptCount val="1"/>
                <c:pt idx="0">
                  <c:v>CONVERTER BENEFITS - ON 7.9KT BUSINESS</c:v>
                </c:pt>
              </c:strCache>
            </c:strRef>
          </c:tx>
          <c:spPr>
            <a:solidFill>
              <a:srgbClr val="66FF33"/>
            </a:solidFill>
          </c:spPr>
          <c:invertIfNegative val="0"/>
          <c:dLbls>
            <c:dLbl>
              <c:idx val="0"/>
              <c:layout>
                <c:manualLayout>
                  <c:x val="-0.19430485762144054"/>
                  <c:y val="1.97823936696340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1D-4A8B-9A77-5FCF0C4766DF}"/>
                </c:ext>
              </c:extLst>
            </c:dLbl>
            <c:dLbl>
              <c:idx val="1"/>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1D-4A8B-9A77-5FCF0C4766DF}"/>
                </c:ext>
              </c:extLst>
            </c:dLbl>
            <c:dLbl>
              <c:idx val="2"/>
              <c:layout>
                <c:manualLayout>
                  <c:x val="-0.1105527638190954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51D-4A8B-9A77-5FCF0C4766DF}"/>
                </c:ext>
              </c:extLst>
            </c:dLbl>
            <c:spPr>
              <a:solidFill>
                <a:schemeClr val="bg1"/>
              </a:solidFill>
              <a:ln w="19050">
                <a:solidFill>
                  <a:srgbClr val="006600"/>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 GAUGE+PERF CALC'!$W$61:$W$63</c:f>
              <c:strCache>
                <c:ptCount val="3"/>
                <c:pt idx="0">
                  <c:v>CONVERTER SELLS @ CONSTANT $/TON (1300 $/TON = 36.45$ per 1000 sq m)</c:v>
                </c:pt>
                <c:pt idx="1">
                  <c:v>CONVERTER SELLS @ MAXIMUM $ per 1000 sq m (50.829 $ per 1000 sq m = 1812.86$/TON)</c:v>
                </c:pt>
                <c:pt idx="2">
                  <c:v>CONVERTER SELLS @ TARGET PRICE (1610 $/TON = 45.141$ per 1000 sq m)</c:v>
                </c:pt>
              </c:strCache>
            </c:strRef>
          </c:cat>
          <c:val>
            <c:numRef>
              <c:f>'#2 GAUGE+PERF CALC'!$X$61:$X$63</c:f>
              <c:numCache>
                <c:formatCode>0.000</c:formatCode>
                <c:ptCount val="3"/>
                <c:pt idx="0">
                  <c:v>-1.1809561644</c:v>
                </c:pt>
                <c:pt idx="1">
                  <c:v>2.8710438356000001</c:v>
                </c:pt>
                <c:pt idx="2">
                  <c:v>1.2680438355999999</c:v>
                </c:pt>
              </c:numCache>
            </c:numRef>
          </c:val>
          <c:extLst>
            <c:ext xmlns:c16="http://schemas.microsoft.com/office/drawing/2014/chart" uri="{C3380CC4-5D6E-409C-BE32-E72D297353CC}">
              <c16:uniqueId val="{00000003-A51D-4A8B-9A77-5FCF0C4766DF}"/>
            </c:ext>
          </c:extLst>
        </c:ser>
        <c:ser>
          <c:idx val="1"/>
          <c:order val="1"/>
          <c:tx>
            <c:strRef>
              <c:f>'#2 GAUGE+PERF CALC'!$Y$60</c:f>
              <c:strCache>
                <c:ptCount val="1"/>
                <c:pt idx="0">
                  <c:v>DOWNSTREAM PLAYERS BENEFITS - BUYING SAME sq m</c:v>
                </c:pt>
              </c:strCache>
            </c:strRef>
          </c:tx>
          <c:spPr>
            <a:solidFill>
              <a:srgbClr val="00FFFF"/>
            </a:solidFill>
          </c:spPr>
          <c:invertIfNegative val="0"/>
          <c:dLbls>
            <c:dLbl>
              <c:idx val="0"/>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51D-4A8B-9A77-5FCF0C4766DF}"/>
                </c:ext>
              </c:extLst>
            </c:dLbl>
            <c:dLbl>
              <c:idx val="2"/>
              <c:layout>
                <c:manualLayout>
                  <c:x val="-0.134003350083752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51D-4A8B-9A77-5FCF0C4766DF}"/>
                </c:ext>
              </c:extLst>
            </c:dLbl>
            <c:spPr>
              <a:solidFill>
                <a:schemeClr val="bg1"/>
              </a:solidFill>
              <a:ln w="19050">
                <a:solidFill>
                  <a:srgbClr val="0033CC"/>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 GAUGE+PERF CALC'!$W$61:$W$63</c:f>
              <c:strCache>
                <c:ptCount val="3"/>
                <c:pt idx="0">
                  <c:v>CONVERTER SELLS @ CONSTANT $/TON (1300 $/TON = 36.45$ per 1000 sq m)</c:v>
                </c:pt>
                <c:pt idx="1">
                  <c:v>CONVERTER SELLS @ MAXIMUM $ per 1000 sq m (50.829 $ per 1000 sq m = 1812.86$/TON)</c:v>
                </c:pt>
                <c:pt idx="2">
                  <c:v>CONVERTER SELLS @ TARGET PRICE (1610 $/TON = 45.141$ per 1000 sq m)</c:v>
                </c:pt>
              </c:strCache>
            </c:strRef>
          </c:cat>
          <c:val>
            <c:numRef>
              <c:f>'#2 GAUGE+PERF CALC'!$Y$61:$Y$63</c:f>
              <c:numCache>
                <c:formatCode>0.000</c:formatCode>
                <c:ptCount val="3"/>
                <c:pt idx="0">
                  <c:v>3.9740000000000002</c:v>
                </c:pt>
                <c:pt idx="1">
                  <c:v>-0.21620547945205482</c:v>
                </c:pt>
                <c:pt idx="2">
                  <c:v>1.4404849315068493</c:v>
                </c:pt>
              </c:numCache>
            </c:numRef>
          </c:val>
          <c:extLst>
            <c:ext xmlns:c16="http://schemas.microsoft.com/office/drawing/2014/chart" uri="{C3380CC4-5D6E-409C-BE32-E72D297353CC}">
              <c16:uniqueId val="{00000006-A51D-4A8B-9A77-5FCF0C4766DF}"/>
            </c:ext>
          </c:extLst>
        </c:ser>
        <c:dLbls>
          <c:showLegendKey val="0"/>
          <c:showVal val="1"/>
          <c:showCatName val="0"/>
          <c:showSerName val="0"/>
          <c:showPercent val="0"/>
          <c:showBubbleSize val="0"/>
        </c:dLbls>
        <c:gapWidth val="150"/>
        <c:axId val="756498640"/>
        <c:axId val="756504912"/>
      </c:barChart>
      <c:catAx>
        <c:axId val="756498640"/>
        <c:scaling>
          <c:orientation val="maxMin"/>
        </c:scaling>
        <c:delete val="0"/>
        <c:axPos val="l"/>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756504912"/>
        <c:crosses val="autoZero"/>
        <c:auto val="1"/>
        <c:lblAlgn val="ctr"/>
        <c:lblOffset val="100"/>
        <c:tickLblSkip val="1"/>
        <c:tickMarkSkip val="1"/>
        <c:noMultiLvlLbl val="0"/>
      </c:catAx>
      <c:valAx>
        <c:axId val="756504912"/>
        <c:scaling>
          <c:orientation val="minMax"/>
        </c:scaling>
        <c:delete val="0"/>
        <c:axPos val="t"/>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756498640"/>
        <c:crosses val="autoZero"/>
        <c:crossBetween val="between"/>
      </c:valAx>
      <c:spPr>
        <a:noFill/>
        <a:ln w="12700">
          <a:solidFill>
            <a:srgbClr val="00000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horizontalDpi="1200" verticalDpi="1200"/>
  </c:printSettings>
</c:chartSpace>
</file>

<file path=xl/ctrlProps/ctrlProp1.xml><?xml version="1.0" encoding="utf-8"?>
<formControlPr xmlns="http://schemas.microsoft.com/office/spreadsheetml/2009/9/main" objectType="Drop" dropLines="20" dropStyle="combo" dx="16" fmlaLink="$B$8" fmlaRange="$M$6:$M$28" noThreeD="1" sel="1" val="0"/>
</file>

<file path=xl/ctrlProps/ctrlProp2.xml><?xml version="1.0" encoding="utf-8"?>
<formControlPr xmlns="http://schemas.microsoft.com/office/spreadsheetml/2009/9/main" objectType="Drop" dropLines="20" dropStyle="combo" dx="16" fmlaLink="$B$9" fmlaRange="$M$6:$M$28" noThreeD="1" sel="1" val="0"/>
</file>

<file path=xl/ctrlProps/ctrlProp3.xml><?xml version="1.0" encoding="utf-8"?>
<formControlPr xmlns="http://schemas.microsoft.com/office/spreadsheetml/2009/9/main" objectType="Drop" dropLines="20" dropStyle="combo" dx="16" fmlaLink="$B$10" fmlaRange="$M$6:$M$28" noThreeD="1" sel="1" val="0"/>
</file>

<file path=xl/ctrlProps/ctrlProp4.xml><?xml version="1.0" encoding="utf-8"?>
<formControlPr xmlns="http://schemas.microsoft.com/office/spreadsheetml/2009/9/main" objectType="Drop" dropLines="20" dropStyle="combo" dx="16" fmlaLink="$B$11" fmlaRange="$M$6:$M$28" noThreeD="1" sel="1" val="0"/>
</file>

<file path=xl/ctrlProps/ctrlProp5.xml><?xml version="1.0" encoding="utf-8"?>
<formControlPr xmlns="http://schemas.microsoft.com/office/spreadsheetml/2009/9/main" objectType="Drop" dropLines="20" dropStyle="combo" dx="16" fmlaLink="$B$12" fmlaRange="$M$6:$M$28" noThreeD="1" sel="1" val="0"/>
</file>

<file path=xl/ctrlProps/ctrlProp6.xml><?xml version="1.0" encoding="utf-8"?>
<formControlPr xmlns="http://schemas.microsoft.com/office/spreadsheetml/2009/9/main" objectType="Drop" dropLines="20" dropStyle="combo" dx="16" fmlaLink="$B$13" fmlaRange="$M$6:$M$28" noThreeD="1" sel="1" val="0"/>
</file>

<file path=xl/ctrlProps/ctrlProp7.xml><?xml version="1.0" encoding="utf-8"?>
<formControlPr xmlns="http://schemas.microsoft.com/office/spreadsheetml/2009/9/main" objectType="Drop" dropLines="20" dropStyle="combo" dx="16" fmlaLink="$B$14" fmlaRange="$M$6:$M$28" noThreeD="1" sel="1" val="0"/>
</file>

<file path=xl/ctrlProps/ctrlProp8.xml><?xml version="1.0" encoding="utf-8"?>
<formControlPr xmlns="http://schemas.microsoft.com/office/spreadsheetml/2009/9/main" objectType="Drop" dropLines="20" dropStyle="combo" dx="16" fmlaLink="$B$15" fmlaRange="$M$6:$M$28" noThreeD="1" sel="1" val="0"/>
</file>

<file path=xl/ctrlProps/ctrlProp9.xml><?xml version="1.0" encoding="utf-8"?>
<formControlPr xmlns="http://schemas.microsoft.com/office/spreadsheetml/2009/9/main" objectType="Drop" dropLines="20" dropStyle="combo" dx="16" fmlaLink="$B$20" fmlaRange="$M$6:$M$28" noThreeD="1" sel="1" val="0"/>
</file>

<file path=xl/ctrlProps/ctrlProp10.xml><?xml version="1.0" encoding="utf-8"?>
<formControlPr xmlns="http://schemas.microsoft.com/office/spreadsheetml/2009/9/main" objectType="Drop" dropLines="20" dropStyle="combo" dx="16" fmlaLink="$B$21" fmlaRange="$M$6:$M$28" noThreeD="1" sel="1" val="0"/>
</file>

<file path=xl/ctrlProps/ctrlProp11.xml><?xml version="1.0" encoding="utf-8"?>
<formControlPr xmlns="http://schemas.microsoft.com/office/spreadsheetml/2009/9/main" objectType="Drop" dropLines="20" dropStyle="combo" dx="16" fmlaLink="$B$22" fmlaRange="$M$6:$M$28" noThreeD="1" sel="1" val="0"/>
</file>

<file path=xl/ctrlProps/ctrlProp12.xml><?xml version="1.0" encoding="utf-8"?>
<formControlPr xmlns="http://schemas.microsoft.com/office/spreadsheetml/2009/9/main" objectType="Drop" dropLines="20" dropStyle="combo" dx="16" fmlaLink="$B$23" fmlaRange="$M$6:$M$28" noThreeD="1" sel="1" val="0"/>
</file>

<file path=xl/ctrlProps/ctrlProp13.xml><?xml version="1.0" encoding="utf-8"?>
<formControlPr xmlns="http://schemas.microsoft.com/office/spreadsheetml/2009/9/main" objectType="Drop" dropLines="20" dropStyle="combo" dx="16" fmlaLink="$B$24" fmlaRange="$M$6:$M$28" noThreeD="1" sel="1" val="0"/>
</file>

<file path=xl/ctrlProps/ctrlProp14.xml><?xml version="1.0" encoding="utf-8"?>
<formControlPr xmlns="http://schemas.microsoft.com/office/spreadsheetml/2009/9/main" objectType="Drop" dropLines="20" dropStyle="combo" dx="16" fmlaLink="$B$25" fmlaRange="$M$6:$M$28" noThreeD="1" sel="1" val="0"/>
</file>

<file path=xl/ctrlProps/ctrlProp15.xml><?xml version="1.0" encoding="utf-8"?>
<formControlPr xmlns="http://schemas.microsoft.com/office/spreadsheetml/2009/9/main" objectType="Drop" dropLines="20" dropStyle="combo" dx="16" fmlaLink="$B$26" fmlaRange="$M$6:$M$28" noThreeD="1" sel="1" val="0"/>
</file>

<file path=xl/ctrlProps/ctrlProp16.xml><?xml version="1.0" encoding="utf-8"?>
<formControlPr xmlns="http://schemas.microsoft.com/office/spreadsheetml/2009/9/main" objectType="Drop" dropLines="20" dropStyle="combo" dx="16" fmlaLink="$B$27" fmlaRange="$M$6:$M$28" noThreeD="1" sel="1" val="0"/>
</file>

<file path=xl/ctrlProps/ctrlProp17.xml><?xml version="1.0" encoding="utf-8"?>
<formControlPr xmlns="http://schemas.microsoft.com/office/spreadsheetml/2009/9/main" objectType="Drop" dropLines="20" dropStyle="combo" dx="16" fmlaLink="$B$32" fmlaRange="$M$6:$M$28" noThreeD="1" sel="1" val="0"/>
</file>

<file path=xl/ctrlProps/ctrlProp18.xml><?xml version="1.0" encoding="utf-8"?>
<formControlPr xmlns="http://schemas.microsoft.com/office/spreadsheetml/2009/9/main" objectType="Drop" dropLines="20" dropStyle="combo" dx="16" fmlaLink="$B$33" fmlaRange="$M$6:$M$28" noThreeD="1" sel="1" val="0"/>
</file>

<file path=xl/ctrlProps/ctrlProp19.xml><?xml version="1.0" encoding="utf-8"?>
<formControlPr xmlns="http://schemas.microsoft.com/office/spreadsheetml/2009/9/main" objectType="Drop" dropLines="20" dropStyle="combo" dx="16" fmlaLink="$B$34" fmlaRange="$M$6:$M$28" noThreeD="1" sel="1" val="0"/>
</file>

<file path=xl/ctrlProps/ctrlProp20.xml><?xml version="1.0" encoding="utf-8"?>
<formControlPr xmlns="http://schemas.microsoft.com/office/spreadsheetml/2009/9/main" objectType="Drop" dropLines="20" dropStyle="combo" dx="16" fmlaLink="$B$35" fmlaRange="$M$6:$M$28" noThreeD="1" sel="1" val="0"/>
</file>

<file path=xl/ctrlProps/ctrlProp21.xml><?xml version="1.0" encoding="utf-8"?>
<formControlPr xmlns="http://schemas.microsoft.com/office/spreadsheetml/2009/9/main" objectType="Drop" dropLines="20" dropStyle="combo" dx="16" fmlaLink="$B$36" fmlaRange="$M$6:$M$28" noThreeD="1" sel="1" val="0"/>
</file>

<file path=xl/ctrlProps/ctrlProp22.xml><?xml version="1.0" encoding="utf-8"?>
<formControlPr xmlns="http://schemas.microsoft.com/office/spreadsheetml/2009/9/main" objectType="Drop" dropLines="20" dropStyle="combo" dx="16" fmlaLink="$B$37" fmlaRange="$M$6:$M$28" noThreeD="1" sel="1" val="0"/>
</file>

<file path=xl/ctrlProps/ctrlProp23.xml><?xml version="1.0" encoding="utf-8"?>
<formControlPr xmlns="http://schemas.microsoft.com/office/spreadsheetml/2009/9/main" objectType="Drop" dropLines="20" dropStyle="combo" dx="16" fmlaLink="$B$38" fmlaRange="$M$6:$M$28" noThreeD="1" sel="1" val="0"/>
</file>

<file path=xl/ctrlProps/ctrlProp24.xml><?xml version="1.0" encoding="utf-8"?>
<formControlPr xmlns="http://schemas.microsoft.com/office/spreadsheetml/2009/9/main" objectType="Drop" dropLines="20" dropStyle="combo" dx="16" fmlaLink="$B$39" fmlaRange="$M$6:$M$28" noThreeD="1" sel="1" val="0"/>
</file>

<file path=xl/ctrlProps/ctrlProp25.xml><?xml version="1.0" encoding="utf-8"?>
<formControlPr xmlns="http://schemas.microsoft.com/office/spreadsheetml/2009/9/main" objectType="Drop" dropLines="20" dropStyle="combo" dx="16" fmlaLink="$B$8" fmlaRange="$M$6:$M$28" noThreeD="1" sel="4" val="3"/>
</file>

<file path=xl/ctrlProps/ctrlProp26.xml><?xml version="1.0" encoding="utf-8"?>
<formControlPr xmlns="http://schemas.microsoft.com/office/spreadsheetml/2009/9/main" objectType="Drop" dropLines="20" dropStyle="combo" dx="16" fmlaLink="$B$9" fmlaRange="$M$6:$M$28" noThreeD="1" sel="4" val="0"/>
</file>

<file path=xl/ctrlProps/ctrlProp27.xml><?xml version="1.0" encoding="utf-8"?>
<formControlPr xmlns="http://schemas.microsoft.com/office/spreadsheetml/2009/9/main" objectType="Drop" dropLines="20" dropStyle="combo" dx="16" fmlaLink="$B$10" fmlaRange="$M$6:$M$28" noThreeD="1" sel="4" val="0"/>
</file>

<file path=xl/ctrlProps/ctrlProp28.xml><?xml version="1.0" encoding="utf-8"?>
<formControlPr xmlns="http://schemas.microsoft.com/office/spreadsheetml/2009/9/main" objectType="Drop" dropLines="20" dropStyle="combo" dx="16" fmlaLink="$B$11" fmlaRange="$M$6:$M$28" noThreeD="1" sel="4" val="0"/>
</file>

<file path=xl/ctrlProps/ctrlProp29.xml><?xml version="1.0" encoding="utf-8"?>
<formControlPr xmlns="http://schemas.microsoft.com/office/spreadsheetml/2009/9/main" objectType="Drop" dropLines="20" dropStyle="combo" dx="16" fmlaLink="$B$12" fmlaRange="$M$6:$M$28" noThreeD="1" sel="1" val="0"/>
</file>

<file path=xl/ctrlProps/ctrlProp30.xml><?xml version="1.0" encoding="utf-8"?>
<formControlPr xmlns="http://schemas.microsoft.com/office/spreadsheetml/2009/9/main" objectType="Drop" dropLines="20" dropStyle="combo" dx="16" fmlaLink="$B$13" fmlaRange="$M$6:$M$28" noThreeD="1" sel="1" val="0"/>
</file>

<file path=xl/ctrlProps/ctrlProp31.xml><?xml version="1.0" encoding="utf-8"?>
<formControlPr xmlns="http://schemas.microsoft.com/office/spreadsheetml/2009/9/main" objectType="Drop" dropLines="20" dropStyle="combo" dx="16" fmlaLink="$B$14" fmlaRange="$M$6:$M$28" noThreeD="1" sel="1" val="0"/>
</file>

<file path=xl/ctrlProps/ctrlProp32.xml><?xml version="1.0" encoding="utf-8"?>
<formControlPr xmlns="http://schemas.microsoft.com/office/spreadsheetml/2009/9/main" objectType="Drop" dropLines="20" dropStyle="combo" dx="16" fmlaLink="$B$15" fmlaRange="$M$6:$M$28" noThreeD="1" sel="1" val="0"/>
</file>

<file path=xl/ctrlProps/ctrlProp33.xml><?xml version="1.0" encoding="utf-8"?>
<formControlPr xmlns="http://schemas.microsoft.com/office/spreadsheetml/2009/9/main" objectType="Drop" dropLines="20" dropStyle="combo" dx="16" fmlaLink="$B$20" fmlaRange="$M$6:$M$28" noThreeD="1" sel="2" val="0"/>
</file>

<file path=xl/ctrlProps/ctrlProp34.xml><?xml version="1.0" encoding="utf-8"?>
<formControlPr xmlns="http://schemas.microsoft.com/office/spreadsheetml/2009/9/main" objectType="Drop" dropLines="20" dropStyle="combo" dx="16" fmlaLink="$B$21" fmlaRange="$M$6:$M$28" noThreeD="1" sel="2" val="0"/>
</file>

<file path=xl/ctrlProps/ctrlProp35.xml><?xml version="1.0" encoding="utf-8"?>
<formControlPr xmlns="http://schemas.microsoft.com/office/spreadsheetml/2009/9/main" objectType="Drop" dropLines="20" dropStyle="combo" dx="16" fmlaLink="$B$22" fmlaRange="$M$6:$M$28" noThreeD="1" sel="2" val="0"/>
</file>

<file path=xl/ctrlProps/ctrlProp36.xml><?xml version="1.0" encoding="utf-8"?>
<formControlPr xmlns="http://schemas.microsoft.com/office/spreadsheetml/2009/9/main" objectType="Drop" dropLines="20" dropStyle="combo" dx="16" fmlaLink="$B$23" fmlaRange="$M$6:$M$28" noThreeD="1" sel="2" val="0"/>
</file>

<file path=xl/ctrlProps/ctrlProp37.xml><?xml version="1.0" encoding="utf-8"?>
<formControlPr xmlns="http://schemas.microsoft.com/office/spreadsheetml/2009/9/main" objectType="Drop" dropLines="20" dropStyle="combo" dx="16" fmlaLink="$B$24" fmlaRange="$M$6:$M$28" noThreeD="1" sel="2" val="0"/>
</file>

<file path=xl/ctrlProps/ctrlProp38.xml><?xml version="1.0" encoding="utf-8"?>
<formControlPr xmlns="http://schemas.microsoft.com/office/spreadsheetml/2009/9/main" objectType="Drop" dropLines="20" dropStyle="combo" dx="16" fmlaLink="$B$25" fmlaRange="$M$6:$M$28" noThreeD="1" sel="2" val="0"/>
</file>

<file path=xl/ctrlProps/ctrlProp39.xml><?xml version="1.0" encoding="utf-8"?>
<formControlPr xmlns="http://schemas.microsoft.com/office/spreadsheetml/2009/9/main" objectType="Drop" dropLines="20" dropStyle="combo" dx="16" fmlaLink="$B$26" fmlaRange="$M$6:$M$28" noThreeD="1" sel="1" val="0"/>
</file>

<file path=xl/ctrlProps/ctrlProp40.xml><?xml version="1.0" encoding="utf-8"?>
<formControlPr xmlns="http://schemas.microsoft.com/office/spreadsheetml/2009/9/main" objectType="Drop" dropLines="20" dropStyle="combo" dx="16" fmlaLink="$B$27" fmlaRange="$M$6:$M$28" noThreeD="1" sel="1" val="0"/>
</file>

<file path=xl/ctrlProps/ctrlProp41.xml><?xml version="1.0" encoding="utf-8"?>
<formControlPr xmlns="http://schemas.microsoft.com/office/spreadsheetml/2009/9/main" objectType="Drop" dropLines="20" dropStyle="combo" dx="16" fmlaLink="$B$32" fmlaRange="$M$6:$M$28" noThreeD="1" sel="17" val="0"/>
</file>

<file path=xl/ctrlProps/ctrlProp42.xml><?xml version="1.0" encoding="utf-8"?>
<formControlPr xmlns="http://schemas.microsoft.com/office/spreadsheetml/2009/9/main" objectType="Drop" dropLines="20" dropStyle="combo" dx="16" fmlaLink="$B$33" fmlaRange="$M$6:$M$28" noThreeD="1" sel="17" val="0"/>
</file>

<file path=xl/ctrlProps/ctrlProp43.xml><?xml version="1.0" encoding="utf-8"?>
<formControlPr xmlns="http://schemas.microsoft.com/office/spreadsheetml/2009/9/main" objectType="Drop" dropLines="20" dropStyle="combo" dx="16" fmlaLink="$B$34" fmlaRange="$M$6:$M$28" noThreeD="1" sel="17" val="0"/>
</file>

<file path=xl/ctrlProps/ctrlProp44.xml><?xml version="1.0" encoding="utf-8"?>
<formControlPr xmlns="http://schemas.microsoft.com/office/spreadsheetml/2009/9/main" objectType="Drop" dropLines="20" dropStyle="combo" dx="16" fmlaLink="$B$35" fmlaRange="$M$6:$M$28" noThreeD="1" sel="17" val="0"/>
</file>

<file path=xl/ctrlProps/ctrlProp45.xml><?xml version="1.0" encoding="utf-8"?>
<formControlPr xmlns="http://schemas.microsoft.com/office/spreadsheetml/2009/9/main" objectType="Drop" dropLines="20" dropStyle="combo" dx="16" fmlaLink="$B$36" fmlaRange="$M$6:$M$28" noThreeD="1" sel="1" val="0"/>
</file>

<file path=xl/ctrlProps/ctrlProp46.xml><?xml version="1.0" encoding="utf-8"?>
<formControlPr xmlns="http://schemas.microsoft.com/office/spreadsheetml/2009/9/main" objectType="Drop" dropLines="20" dropStyle="combo" dx="16" fmlaLink="$B$37" fmlaRange="$M$6:$M$28" noThreeD="1" sel="1" val="0"/>
</file>

<file path=xl/ctrlProps/ctrlProp47.xml><?xml version="1.0" encoding="utf-8"?>
<formControlPr xmlns="http://schemas.microsoft.com/office/spreadsheetml/2009/9/main" objectType="Drop" dropLines="20" dropStyle="combo" dx="16" fmlaLink="$B$38" fmlaRange="$M$6:$M$28" noThreeD="1" sel="1" val="0"/>
</file>

<file path=xl/ctrlProps/ctrlProp48.xml><?xml version="1.0" encoding="utf-8"?>
<formControlPr xmlns="http://schemas.microsoft.com/office/spreadsheetml/2009/9/main" objectType="Drop" dropLines="20" dropStyle="combo" dx="16" fmlaLink="$B$39" fmlaRange="$M$6:$M$28" noThreeD="1"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22</xdr:col>
      <xdr:colOff>220980</xdr:colOff>
      <xdr:row>58</xdr:row>
      <xdr:rowOff>7620</xdr:rowOff>
    </xdr:from>
    <xdr:to>
      <xdr:col>28</xdr:col>
      <xdr:colOff>426720</xdr:colOff>
      <xdr:row>97</xdr:row>
      <xdr:rowOff>137160</xdr:rowOff>
    </xdr:to>
    <xdr:graphicFrame macro="">
      <xdr:nvGraphicFramePr>
        <xdr:cNvPr id="2" name="Chart 19">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17410" name="Drop Dow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100-000003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100-000004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17413" name="Drop Down 5" hidden="1">
              <a:extLst>
                <a:ext uri="{63B3BB69-23CF-44E3-9099-C40C66FF867C}">
                  <a14:compatExt spid="_x0000_s17413"/>
                </a:ext>
                <a:ext uri="{FF2B5EF4-FFF2-40B4-BE49-F238E27FC236}">
                  <a16:creationId xmlns:a16="http://schemas.microsoft.com/office/drawing/2014/main" id="{00000000-0008-0000-0100-000005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0100-000006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17415" name="Drop Down 7" hidden="1">
              <a:extLst>
                <a:ext uri="{63B3BB69-23CF-44E3-9099-C40C66FF867C}">
                  <a14:compatExt spid="_x0000_s17415"/>
                </a:ext>
                <a:ext uri="{FF2B5EF4-FFF2-40B4-BE49-F238E27FC236}">
                  <a16:creationId xmlns:a16="http://schemas.microsoft.com/office/drawing/2014/main" id="{00000000-0008-0000-0100-000007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17416" name="Drop Down 8" hidden="1">
              <a:extLst>
                <a:ext uri="{63B3BB69-23CF-44E3-9099-C40C66FF867C}">
                  <a14:compatExt spid="_x0000_s17416"/>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0</xdr:colOff>
          <xdr:row>20</xdr:row>
          <xdr:rowOff>0</xdr:rowOff>
        </xdr:to>
        <xdr:sp macro="" textlink="">
          <xdr:nvSpPr>
            <xdr:cNvPr id="17417" name="Drop Down 9" hidden="1">
              <a:extLst>
                <a:ext uri="{63B3BB69-23CF-44E3-9099-C40C66FF867C}">
                  <a14:compatExt spid="_x0000_s17417"/>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0</xdr:colOff>
          <xdr:row>21</xdr:row>
          <xdr:rowOff>0</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0</xdr:colOff>
          <xdr:row>22</xdr:row>
          <xdr:rowOff>0</xdr:rowOff>
        </xdr:to>
        <xdr:sp macro="" textlink="">
          <xdr:nvSpPr>
            <xdr:cNvPr id="17419" name="Drop Down 11" hidden="1">
              <a:extLst>
                <a:ext uri="{63B3BB69-23CF-44E3-9099-C40C66FF867C}">
                  <a14:compatExt spid="_x0000_s17419"/>
                </a:ext>
                <a:ext uri="{FF2B5EF4-FFF2-40B4-BE49-F238E27FC236}">
                  <a16:creationId xmlns:a16="http://schemas.microsoft.com/office/drawing/2014/main" id="{00000000-0008-0000-0100-00000B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100-00000C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2</xdr:col>
          <xdr:colOff>0</xdr:colOff>
          <xdr:row>24</xdr:row>
          <xdr:rowOff>0</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100-00000D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2</xdr:col>
          <xdr:colOff>0</xdr:colOff>
          <xdr:row>25</xdr:row>
          <xdr:rowOff>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100-00000E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0</xdr:colOff>
          <xdr:row>26</xdr:row>
          <xdr:rowOff>0</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100-00000F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2</xdr:col>
          <xdr:colOff>0</xdr:colOff>
          <xdr:row>27</xdr:row>
          <xdr:rowOff>0</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100-000010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2</xdr:col>
          <xdr:colOff>0</xdr:colOff>
          <xdr:row>32</xdr:row>
          <xdr:rowOff>0</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100-000011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2</xdr:col>
          <xdr:colOff>0</xdr:colOff>
          <xdr:row>33</xdr:row>
          <xdr:rowOff>0</xdr:rowOff>
        </xdr:to>
        <xdr:sp macro="" textlink="">
          <xdr:nvSpPr>
            <xdr:cNvPr id="17426" name="Drop Down 18" hidden="1">
              <a:extLst>
                <a:ext uri="{63B3BB69-23CF-44E3-9099-C40C66FF867C}">
                  <a14:compatExt spid="_x0000_s17426"/>
                </a:ext>
                <a:ext uri="{FF2B5EF4-FFF2-40B4-BE49-F238E27FC236}">
                  <a16:creationId xmlns:a16="http://schemas.microsoft.com/office/drawing/2014/main" id="{00000000-0008-0000-0100-000012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2</xdr:col>
          <xdr:colOff>0</xdr:colOff>
          <xdr:row>34</xdr:row>
          <xdr:rowOff>0</xdr:rowOff>
        </xdr:to>
        <xdr:sp macro="" textlink="">
          <xdr:nvSpPr>
            <xdr:cNvPr id="17427" name="Drop Down 19" hidden="1">
              <a:extLst>
                <a:ext uri="{63B3BB69-23CF-44E3-9099-C40C66FF867C}">
                  <a14:compatExt spid="_x0000_s17427"/>
                </a:ext>
                <a:ext uri="{FF2B5EF4-FFF2-40B4-BE49-F238E27FC236}">
                  <a16:creationId xmlns:a16="http://schemas.microsoft.com/office/drawing/2014/main" id="{00000000-0008-0000-0100-000013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2</xdr:col>
          <xdr:colOff>0</xdr:colOff>
          <xdr:row>35</xdr:row>
          <xdr:rowOff>0</xdr:rowOff>
        </xdr:to>
        <xdr:sp macro="" textlink="">
          <xdr:nvSpPr>
            <xdr:cNvPr id="17428" name="Drop Down 20" hidden="1">
              <a:extLst>
                <a:ext uri="{63B3BB69-23CF-44E3-9099-C40C66FF867C}">
                  <a14:compatExt spid="_x0000_s17428"/>
                </a:ext>
                <a:ext uri="{FF2B5EF4-FFF2-40B4-BE49-F238E27FC236}">
                  <a16:creationId xmlns:a16="http://schemas.microsoft.com/office/drawing/2014/main" id="{00000000-0008-0000-0100-000014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0</xdr:colOff>
          <xdr:row>36</xdr:row>
          <xdr:rowOff>0</xdr:rowOff>
        </xdr:to>
        <xdr:sp macro="" textlink="">
          <xdr:nvSpPr>
            <xdr:cNvPr id="17429" name="Drop Down 21" hidden="1">
              <a:extLst>
                <a:ext uri="{63B3BB69-23CF-44E3-9099-C40C66FF867C}">
                  <a14:compatExt spid="_x0000_s17429"/>
                </a:ext>
                <a:ext uri="{FF2B5EF4-FFF2-40B4-BE49-F238E27FC236}">
                  <a16:creationId xmlns:a16="http://schemas.microsoft.com/office/drawing/2014/main" id="{00000000-0008-0000-0100-000015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0</xdr:rowOff>
        </xdr:to>
        <xdr:sp macro="" textlink="">
          <xdr:nvSpPr>
            <xdr:cNvPr id="17430" name="Drop Down 22" hidden="1">
              <a:extLst>
                <a:ext uri="{63B3BB69-23CF-44E3-9099-C40C66FF867C}">
                  <a14:compatExt spid="_x0000_s17430"/>
                </a:ext>
                <a:ext uri="{FF2B5EF4-FFF2-40B4-BE49-F238E27FC236}">
                  <a16:creationId xmlns:a16="http://schemas.microsoft.com/office/drawing/2014/main" id="{00000000-0008-0000-0100-000016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0</xdr:rowOff>
        </xdr:to>
        <xdr:sp macro="" textlink="">
          <xdr:nvSpPr>
            <xdr:cNvPr id="17431" name="Drop Down 23" hidden="1">
              <a:extLst>
                <a:ext uri="{63B3BB69-23CF-44E3-9099-C40C66FF867C}">
                  <a14:compatExt spid="_x0000_s17431"/>
                </a:ext>
                <a:ext uri="{FF2B5EF4-FFF2-40B4-BE49-F238E27FC236}">
                  <a16:creationId xmlns:a16="http://schemas.microsoft.com/office/drawing/2014/main" id="{00000000-0008-0000-0100-000017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0</xdr:rowOff>
        </xdr:to>
        <xdr:sp macro="" textlink="">
          <xdr:nvSpPr>
            <xdr:cNvPr id="17432" name="Drop Down 24" hidden="1">
              <a:extLst>
                <a:ext uri="{63B3BB69-23CF-44E3-9099-C40C66FF867C}">
                  <a14:compatExt spid="_x0000_s17432"/>
                </a:ext>
                <a:ext uri="{FF2B5EF4-FFF2-40B4-BE49-F238E27FC236}">
                  <a16:creationId xmlns:a16="http://schemas.microsoft.com/office/drawing/2014/main" id="{00000000-0008-0000-0100-000018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220980</xdr:colOff>
      <xdr:row>58</xdr:row>
      <xdr:rowOff>7620</xdr:rowOff>
    </xdr:from>
    <xdr:to>
      <xdr:col>28</xdr:col>
      <xdr:colOff>426720</xdr:colOff>
      <xdr:row>97</xdr:row>
      <xdr:rowOff>137160</xdr:rowOff>
    </xdr:to>
    <xdr:graphicFrame macro="">
      <xdr:nvGraphicFramePr>
        <xdr:cNvPr id="2" name="Chart 1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22</xdr:col>
      <xdr:colOff>220980</xdr:colOff>
      <xdr:row>58</xdr:row>
      <xdr:rowOff>7620</xdr:rowOff>
    </xdr:from>
    <xdr:to>
      <xdr:col>28</xdr:col>
      <xdr:colOff>426720</xdr:colOff>
      <xdr:row>97</xdr:row>
      <xdr:rowOff>137160</xdr:rowOff>
    </xdr:to>
    <xdr:graphicFrame macro="">
      <xdr:nvGraphicFramePr>
        <xdr:cNvPr id="2" name="Chart 1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8436" name="Drop Dow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18437" name="Drop Down 5" hidden="1">
              <a:extLst>
                <a:ext uri="{63B3BB69-23CF-44E3-9099-C40C66FF867C}">
                  <a14:compatExt spid="_x0000_s18437"/>
                </a:ext>
                <a:ext uri="{FF2B5EF4-FFF2-40B4-BE49-F238E27FC236}">
                  <a16:creationId xmlns:a16="http://schemas.microsoft.com/office/drawing/2014/main" id="{00000000-0008-0000-0400-000005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18438" name="Drop Down 6"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18439" name="Drop Down 7" hidden="1">
              <a:extLst>
                <a:ext uri="{63B3BB69-23CF-44E3-9099-C40C66FF867C}">
                  <a14:compatExt spid="_x0000_s18439"/>
                </a:ext>
                <a:ext uri="{FF2B5EF4-FFF2-40B4-BE49-F238E27FC236}">
                  <a16:creationId xmlns:a16="http://schemas.microsoft.com/office/drawing/2014/main" id="{00000000-0008-0000-0400-000007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18440" name="Drop Down 8" hidden="1">
              <a:extLst>
                <a:ext uri="{63B3BB69-23CF-44E3-9099-C40C66FF867C}">
                  <a14:compatExt spid="_x0000_s18440"/>
                </a:ext>
                <a:ext uri="{FF2B5EF4-FFF2-40B4-BE49-F238E27FC236}">
                  <a16:creationId xmlns:a16="http://schemas.microsoft.com/office/drawing/2014/main" id="{00000000-0008-0000-0400-000008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0</xdr:colOff>
          <xdr:row>20</xdr:row>
          <xdr:rowOff>0</xdr:rowOff>
        </xdr:to>
        <xdr:sp macro="" textlink="">
          <xdr:nvSpPr>
            <xdr:cNvPr id="18441" name="Drop Down 9" hidden="1">
              <a:extLst>
                <a:ext uri="{63B3BB69-23CF-44E3-9099-C40C66FF867C}">
                  <a14:compatExt spid="_x0000_s18441"/>
                </a:ext>
                <a:ext uri="{FF2B5EF4-FFF2-40B4-BE49-F238E27FC236}">
                  <a16:creationId xmlns:a16="http://schemas.microsoft.com/office/drawing/2014/main" id="{00000000-0008-0000-0400-000009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0</xdr:colOff>
          <xdr:row>21</xdr:row>
          <xdr:rowOff>0</xdr:rowOff>
        </xdr:to>
        <xdr:sp macro="" textlink="">
          <xdr:nvSpPr>
            <xdr:cNvPr id="18442" name="Drop Down 10" hidden="1">
              <a:extLst>
                <a:ext uri="{63B3BB69-23CF-44E3-9099-C40C66FF867C}">
                  <a14:compatExt spid="_x0000_s18442"/>
                </a:ext>
                <a:ext uri="{FF2B5EF4-FFF2-40B4-BE49-F238E27FC236}">
                  <a16:creationId xmlns:a16="http://schemas.microsoft.com/office/drawing/2014/main" id="{00000000-0008-0000-0400-00000A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0</xdr:colOff>
          <xdr:row>22</xdr:row>
          <xdr:rowOff>0</xdr:rowOff>
        </xdr:to>
        <xdr:sp macro="" textlink="">
          <xdr:nvSpPr>
            <xdr:cNvPr id="18443" name="Drop Down 11" hidden="1">
              <a:extLst>
                <a:ext uri="{63B3BB69-23CF-44E3-9099-C40C66FF867C}">
                  <a14:compatExt spid="_x0000_s18443"/>
                </a:ext>
                <a:ext uri="{FF2B5EF4-FFF2-40B4-BE49-F238E27FC236}">
                  <a16:creationId xmlns:a16="http://schemas.microsoft.com/office/drawing/2014/main" id="{00000000-0008-0000-0400-00000B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8444" name="Drop Down 12" hidden="1">
              <a:extLst>
                <a:ext uri="{63B3BB69-23CF-44E3-9099-C40C66FF867C}">
                  <a14:compatExt spid="_x0000_s18444"/>
                </a:ext>
                <a:ext uri="{FF2B5EF4-FFF2-40B4-BE49-F238E27FC236}">
                  <a16:creationId xmlns:a16="http://schemas.microsoft.com/office/drawing/2014/main" id="{00000000-0008-0000-0400-00000C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2</xdr:col>
          <xdr:colOff>0</xdr:colOff>
          <xdr:row>24</xdr:row>
          <xdr:rowOff>0</xdr:rowOff>
        </xdr:to>
        <xdr:sp macro="" textlink="">
          <xdr:nvSpPr>
            <xdr:cNvPr id="18445" name="Drop Down 13" hidden="1">
              <a:extLst>
                <a:ext uri="{63B3BB69-23CF-44E3-9099-C40C66FF867C}">
                  <a14:compatExt spid="_x0000_s18445"/>
                </a:ext>
                <a:ext uri="{FF2B5EF4-FFF2-40B4-BE49-F238E27FC236}">
                  <a16:creationId xmlns:a16="http://schemas.microsoft.com/office/drawing/2014/main" id="{00000000-0008-0000-0400-00000D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2</xdr:col>
          <xdr:colOff>0</xdr:colOff>
          <xdr:row>25</xdr:row>
          <xdr:rowOff>0</xdr:rowOff>
        </xdr:to>
        <xdr:sp macro="" textlink="">
          <xdr:nvSpPr>
            <xdr:cNvPr id="18446" name="Drop Down 14" hidden="1">
              <a:extLst>
                <a:ext uri="{63B3BB69-23CF-44E3-9099-C40C66FF867C}">
                  <a14:compatExt spid="_x0000_s18446"/>
                </a:ext>
                <a:ext uri="{FF2B5EF4-FFF2-40B4-BE49-F238E27FC236}">
                  <a16:creationId xmlns:a16="http://schemas.microsoft.com/office/drawing/2014/main" id="{00000000-0008-0000-0400-00000E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0</xdr:colOff>
          <xdr:row>26</xdr:row>
          <xdr:rowOff>0</xdr:rowOff>
        </xdr:to>
        <xdr:sp macro="" textlink="">
          <xdr:nvSpPr>
            <xdr:cNvPr id="18447" name="Drop Down 15" hidden="1">
              <a:extLst>
                <a:ext uri="{63B3BB69-23CF-44E3-9099-C40C66FF867C}">
                  <a14:compatExt spid="_x0000_s18447"/>
                </a:ext>
                <a:ext uri="{FF2B5EF4-FFF2-40B4-BE49-F238E27FC236}">
                  <a16:creationId xmlns:a16="http://schemas.microsoft.com/office/drawing/2014/main" id="{00000000-0008-0000-0400-00000F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2</xdr:col>
          <xdr:colOff>0</xdr:colOff>
          <xdr:row>27</xdr:row>
          <xdr:rowOff>0</xdr:rowOff>
        </xdr:to>
        <xdr:sp macro="" textlink="">
          <xdr:nvSpPr>
            <xdr:cNvPr id="18448" name="Drop Down 16" hidden="1">
              <a:extLst>
                <a:ext uri="{63B3BB69-23CF-44E3-9099-C40C66FF867C}">
                  <a14:compatExt spid="_x0000_s18448"/>
                </a:ext>
                <a:ext uri="{FF2B5EF4-FFF2-40B4-BE49-F238E27FC236}">
                  <a16:creationId xmlns:a16="http://schemas.microsoft.com/office/drawing/2014/main" id="{00000000-0008-0000-0400-000010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2</xdr:col>
          <xdr:colOff>0</xdr:colOff>
          <xdr:row>32</xdr:row>
          <xdr:rowOff>0</xdr:rowOff>
        </xdr:to>
        <xdr:sp macro="" textlink="">
          <xdr:nvSpPr>
            <xdr:cNvPr id="18449" name="Drop Down 17" hidden="1">
              <a:extLst>
                <a:ext uri="{63B3BB69-23CF-44E3-9099-C40C66FF867C}">
                  <a14:compatExt spid="_x0000_s18449"/>
                </a:ext>
                <a:ext uri="{FF2B5EF4-FFF2-40B4-BE49-F238E27FC236}">
                  <a16:creationId xmlns:a16="http://schemas.microsoft.com/office/drawing/2014/main" id="{00000000-0008-0000-0400-000011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2</xdr:col>
          <xdr:colOff>0</xdr:colOff>
          <xdr:row>33</xdr:row>
          <xdr:rowOff>0</xdr:rowOff>
        </xdr:to>
        <xdr:sp macro="" textlink="">
          <xdr:nvSpPr>
            <xdr:cNvPr id="18450" name="Drop Down 18" hidden="1">
              <a:extLst>
                <a:ext uri="{63B3BB69-23CF-44E3-9099-C40C66FF867C}">
                  <a14:compatExt spid="_x0000_s18450"/>
                </a:ext>
                <a:ext uri="{FF2B5EF4-FFF2-40B4-BE49-F238E27FC236}">
                  <a16:creationId xmlns:a16="http://schemas.microsoft.com/office/drawing/2014/main" id="{00000000-0008-0000-0400-000012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2</xdr:col>
          <xdr:colOff>0</xdr:colOff>
          <xdr:row>34</xdr:row>
          <xdr:rowOff>0</xdr:rowOff>
        </xdr:to>
        <xdr:sp macro="" textlink="">
          <xdr:nvSpPr>
            <xdr:cNvPr id="18451" name="Drop Down 19" hidden="1">
              <a:extLst>
                <a:ext uri="{63B3BB69-23CF-44E3-9099-C40C66FF867C}">
                  <a14:compatExt spid="_x0000_s18451"/>
                </a:ext>
                <a:ext uri="{FF2B5EF4-FFF2-40B4-BE49-F238E27FC236}">
                  <a16:creationId xmlns:a16="http://schemas.microsoft.com/office/drawing/2014/main" id="{00000000-0008-0000-0400-000013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2</xdr:col>
          <xdr:colOff>0</xdr:colOff>
          <xdr:row>35</xdr:row>
          <xdr:rowOff>0</xdr:rowOff>
        </xdr:to>
        <xdr:sp macro="" textlink="">
          <xdr:nvSpPr>
            <xdr:cNvPr id="18452" name="Drop Down 20" hidden="1">
              <a:extLst>
                <a:ext uri="{63B3BB69-23CF-44E3-9099-C40C66FF867C}">
                  <a14:compatExt spid="_x0000_s18452"/>
                </a:ext>
                <a:ext uri="{FF2B5EF4-FFF2-40B4-BE49-F238E27FC236}">
                  <a16:creationId xmlns:a16="http://schemas.microsoft.com/office/drawing/2014/main" id="{00000000-0008-0000-0400-000014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0</xdr:colOff>
          <xdr:row>36</xdr:row>
          <xdr:rowOff>0</xdr:rowOff>
        </xdr:to>
        <xdr:sp macro="" textlink="">
          <xdr:nvSpPr>
            <xdr:cNvPr id="18453" name="Drop Down 21" hidden="1">
              <a:extLst>
                <a:ext uri="{63B3BB69-23CF-44E3-9099-C40C66FF867C}">
                  <a14:compatExt spid="_x0000_s18453"/>
                </a:ext>
                <a:ext uri="{FF2B5EF4-FFF2-40B4-BE49-F238E27FC236}">
                  <a16:creationId xmlns:a16="http://schemas.microsoft.com/office/drawing/2014/main" id="{00000000-0008-0000-0400-000015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0</xdr:rowOff>
        </xdr:to>
        <xdr:sp macro="" textlink="">
          <xdr:nvSpPr>
            <xdr:cNvPr id="18454" name="Drop Down 22" hidden="1">
              <a:extLst>
                <a:ext uri="{63B3BB69-23CF-44E3-9099-C40C66FF867C}">
                  <a14:compatExt spid="_x0000_s18454"/>
                </a:ext>
                <a:ext uri="{FF2B5EF4-FFF2-40B4-BE49-F238E27FC236}">
                  <a16:creationId xmlns:a16="http://schemas.microsoft.com/office/drawing/2014/main" id="{00000000-0008-0000-0400-000016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0</xdr:rowOff>
        </xdr:to>
        <xdr:sp macro="" textlink="">
          <xdr:nvSpPr>
            <xdr:cNvPr id="18455" name="Drop Down 23" hidden="1">
              <a:extLst>
                <a:ext uri="{63B3BB69-23CF-44E3-9099-C40C66FF867C}">
                  <a14:compatExt spid="_x0000_s18455"/>
                </a:ext>
                <a:ext uri="{FF2B5EF4-FFF2-40B4-BE49-F238E27FC236}">
                  <a16:creationId xmlns:a16="http://schemas.microsoft.com/office/drawing/2014/main" id="{00000000-0008-0000-0400-000017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0</xdr:rowOff>
        </xdr:to>
        <xdr:sp macro="" textlink="">
          <xdr:nvSpPr>
            <xdr:cNvPr id="18456" name="Drop Down 24" hidden="1">
              <a:extLst>
                <a:ext uri="{63B3BB69-23CF-44E3-9099-C40C66FF867C}">
                  <a14:compatExt spid="_x0000_s18456"/>
                </a:ext>
                <a:ext uri="{FF2B5EF4-FFF2-40B4-BE49-F238E27FC236}">
                  <a16:creationId xmlns:a16="http://schemas.microsoft.com/office/drawing/2014/main" id="{00000000-0008-0000-0400-000018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omments" Target="../comments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5.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5.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28" Type="http://schemas.openxmlformats.org/officeDocument/2006/relationships/comments" Target="../comments5.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9"/>
    <pageSetUpPr fitToPage="1"/>
  </sheetPr>
  <dimension ref="A1:BJ107"/>
  <sheetViews>
    <sheetView showGridLines="0" tabSelected="1" topLeftCell="A55" zoomScaleNormal="100" workbookViewId="0">
      <selection activeCell="AB33" sqref="AB33"/>
    </sheetView>
  </sheetViews>
  <sheetFormatPr defaultRowHeight="12.75" outlineLevelCol="1" x14ac:dyDescent="0.2"/>
  <cols>
    <col min="1" max="1" width="3.140625" customWidth="1"/>
    <col min="2" max="2" width="11.5703125" customWidth="1"/>
    <col min="3" max="3" width="5" bestFit="1" customWidth="1"/>
    <col min="4" max="4" width="4.42578125" customWidth="1"/>
    <col min="5" max="5" width="11.5703125" bestFit="1" customWidth="1"/>
    <col min="6" max="6" width="8.42578125" customWidth="1"/>
    <col min="7" max="7" width="6.5703125" bestFit="1" customWidth="1"/>
    <col min="8" max="8" width="2.5703125" customWidth="1"/>
    <col min="9" max="9" width="11.42578125" customWidth="1"/>
    <col min="10" max="12" width="7.140625" customWidth="1"/>
    <col min="13" max="13" width="7" bestFit="1" customWidth="1"/>
    <col min="14" max="14" width="5.85546875" bestFit="1" customWidth="1"/>
    <col min="15" max="15" width="5.5703125" hidden="1" customWidth="1" outlineLevel="1"/>
    <col min="16" max="20" width="5" hidden="1" customWidth="1" outlineLevel="1"/>
    <col min="21" max="21" width="5.5703125" customWidth="1" collapsed="1"/>
    <col min="22" max="22" width="9.140625" hidden="1" customWidth="1"/>
    <col min="23" max="23" width="3.42578125" customWidth="1"/>
    <col min="24" max="24" width="12" customWidth="1"/>
    <col min="25" max="25" width="6.5703125" customWidth="1"/>
    <col min="26" max="27" width="7.85546875" customWidth="1"/>
    <col min="28" max="28" width="7.42578125" bestFit="1" customWidth="1"/>
    <col min="29" max="29" width="6.42578125" bestFit="1" customWidth="1"/>
    <col min="30" max="34" width="6.5703125" hidden="1" customWidth="1" outlineLevel="1"/>
    <col min="35" max="35" width="5.5703125" hidden="1" customWidth="1" outlineLevel="1"/>
    <col min="36" max="36" width="7.140625" customWidth="1" collapsed="1"/>
    <col min="37" max="61" width="9.140625" hidden="1" customWidth="1"/>
    <col min="62" max="62" width="3.140625" customWidth="1"/>
  </cols>
  <sheetData>
    <row r="1" spans="1:62" ht="37.5" customHeight="1" x14ac:dyDescent="0.2">
      <c r="A1" s="311" t="s">
        <v>100</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2"/>
      <c r="BF1" s="312"/>
      <c r="BG1" s="312"/>
      <c r="BH1" s="312"/>
      <c r="BI1" s="312"/>
      <c r="BJ1" s="312"/>
    </row>
    <row r="2" spans="1:62" ht="3" customHeight="1" x14ac:dyDescent="0.25">
      <c r="A2" s="10"/>
      <c r="B2" s="11"/>
      <c r="C2" s="11"/>
      <c r="D2" s="11"/>
      <c r="E2" s="11"/>
      <c r="F2" s="11"/>
      <c r="G2" s="11"/>
      <c r="H2" s="11"/>
      <c r="I2" s="11"/>
      <c r="J2" s="11"/>
      <c r="K2" s="11"/>
      <c r="L2" s="11"/>
      <c r="M2" s="11"/>
      <c r="N2" s="11"/>
      <c r="O2" s="11"/>
      <c r="P2" s="11"/>
      <c r="Q2" s="11"/>
      <c r="R2" s="11"/>
      <c r="S2" s="11"/>
      <c r="T2" s="11"/>
      <c r="U2" s="11"/>
      <c r="V2" s="7"/>
      <c r="W2" s="11"/>
      <c r="X2" s="11"/>
      <c r="Y2" s="11"/>
      <c r="Z2" s="11"/>
      <c r="AA2" s="11"/>
      <c r="AB2" s="11"/>
      <c r="AC2" s="11"/>
      <c r="AD2" s="11"/>
      <c r="AE2" s="11"/>
      <c r="AF2" s="11"/>
      <c r="AG2" s="11"/>
      <c r="AH2" s="11"/>
      <c r="AI2" s="11"/>
      <c r="AJ2" s="11"/>
      <c r="AK2" s="7"/>
      <c r="AL2" s="7"/>
      <c r="AM2" s="7"/>
      <c r="AN2" s="7"/>
      <c r="AO2" s="7"/>
      <c r="AP2" s="7"/>
      <c r="AQ2" s="7"/>
      <c r="AR2" s="7"/>
      <c r="AS2" s="7"/>
      <c r="AT2" s="7"/>
      <c r="AU2" s="7"/>
      <c r="AV2" s="7"/>
      <c r="AW2" s="7"/>
      <c r="AX2" s="7"/>
      <c r="AY2" s="7"/>
      <c r="AZ2" s="7"/>
      <c r="BA2" s="7"/>
      <c r="BB2" s="7"/>
      <c r="BC2" s="7"/>
      <c r="BD2" s="7"/>
      <c r="BE2" s="7"/>
      <c r="BF2" s="7"/>
      <c r="BG2" s="7"/>
      <c r="BH2" s="7"/>
      <c r="BI2" s="7"/>
      <c r="BJ2" s="11"/>
    </row>
    <row r="3" spans="1:62" ht="13.5" x14ac:dyDescent="0.25">
      <c r="A3" s="317" t="s">
        <v>62</v>
      </c>
      <c r="B3" s="319"/>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1"/>
      <c r="AK3" s="13"/>
      <c r="AL3" s="13"/>
      <c r="AM3" s="13"/>
      <c r="AN3" s="13"/>
      <c r="AO3" s="13"/>
      <c r="AP3" s="13"/>
      <c r="AQ3" s="13"/>
      <c r="AR3" s="13"/>
      <c r="AS3" s="13"/>
      <c r="AT3" s="13"/>
      <c r="AU3" s="13"/>
      <c r="AV3" s="13"/>
      <c r="AW3" s="13"/>
      <c r="AX3" s="13"/>
      <c r="AY3" s="13"/>
      <c r="AZ3" s="7"/>
      <c r="BA3" s="7"/>
      <c r="BB3" s="7"/>
      <c r="BC3" s="7"/>
      <c r="BD3" s="7"/>
      <c r="BE3" s="7"/>
      <c r="BF3" s="7"/>
      <c r="BG3" s="7"/>
      <c r="BH3" s="7"/>
      <c r="BI3" s="7"/>
      <c r="BJ3" s="317" t="s">
        <v>62</v>
      </c>
    </row>
    <row r="4" spans="1:62" ht="3" customHeight="1" x14ac:dyDescent="0.25">
      <c r="A4" s="318"/>
      <c r="B4" s="11"/>
      <c r="C4" s="11"/>
      <c r="D4" s="11"/>
      <c r="E4" s="11"/>
      <c r="F4" s="11"/>
      <c r="G4" s="11"/>
      <c r="H4" s="11"/>
      <c r="I4" s="11"/>
      <c r="J4" s="11"/>
      <c r="K4" s="11"/>
      <c r="L4" s="11"/>
      <c r="M4" s="11"/>
      <c r="N4" s="11"/>
      <c r="O4" s="11"/>
      <c r="P4" s="11"/>
      <c r="Q4" s="11"/>
      <c r="R4" s="11"/>
      <c r="S4" s="11"/>
      <c r="T4" s="11"/>
      <c r="U4" s="11"/>
      <c r="V4" s="7"/>
      <c r="W4" s="11" t="s">
        <v>63</v>
      </c>
      <c r="X4" s="11"/>
      <c r="Y4" s="11"/>
      <c r="Z4" s="11"/>
      <c r="AA4" s="11"/>
      <c r="AB4" s="11"/>
      <c r="AC4" s="11"/>
      <c r="AD4" s="11"/>
      <c r="AE4" s="11"/>
      <c r="AF4" s="11"/>
      <c r="AG4" s="11"/>
      <c r="AH4" s="11"/>
      <c r="AI4" s="11"/>
      <c r="AJ4" s="11"/>
      <c r="AK4" s="7"/>
      <c r="AL4" s="7"/>
      <c r="AM4" s="7"/>
      <c r="AN4" s="7"/>
      <c r="AO4" s="7"/>
      <c r="AP4" s="7"/>
      <c r="AQ4" s="7"/>
      <c r="AR4" s="7"/>
      <c r="AS4" s="7"/>
      <c r="AT4" s="7"/>
      <c r="AU4" s="7"/>
      <c r="AV4" s="7"/>
      <c r="AW4" s="7"/>
      <c r="AX4" s="7"/>
      <c r="AY4" s="7"/>
      <c r="AZ4" s="7"/>
      <c r="BA4" s="7"/>
      <c r="BB4" s="7"/>
      <c r="BC4" s="7"/>
      <c r="BD4" s="7"/>
      <c r="BE4" s="7"/>
      <c r="BF4" s="7"/>
      <c r="BG4" s="7"/>
      <c r="BH4" s="7"/>
      <c r="BI4" s="7"/>
      <c r="BJ4" s="318"/>
    </row>
    <row r="5" spans="1:62" ht="13.5" x14ac:dyDescent="0.25">
      <c r="A5" s="318"/>
      <c r="B5" s="14" t="s">
        <v>0</v>
      </c>
      <c r="C5" s="14"/>
      <c r="D5" s="11"/>
      <c r="E5" s="14" t="s">
        <v>1</v>
      </c>
      <c r="F5" s="14"/>
      <c r="G5" s="14"/>
      <c r="H5" s="11"/>
      <c r="I5" s="319" t="s">
        <v>59</v>
      </c>
      <c r="J5" s="322"/>
      <c r="K5" s="322"/>
      <c r="L5" s="322"/>
      <c r="M5" s="322"/>
      <c r="N5" s="322"/>
      <c r="O5" s="322"/>
      <c r="P5" s="322"/>
      <c r="Q5" s="322"/>
      <c r="R5" s="322"/>
      <c r="S5" s="322"/>
      <c r="T5" s="322"/>
      <c r="U5" s="323"/>
      <c r="V5" s="15"/>
      <c r="W5" s="16"/>
      <c r="X5" s="319" t="s">
        <v>189</v>
      </c>
      <c r="Y5" s="322"/>
      <c r="Z5" s="322"/>
      <c r="AA5" s="322"/>
      <c r="AB5" s="322"/>
      <c r="AC5" s="322"/>
      <c r="AD5" s="322"/>
      <c r="AE5" s="322"/>
      <c r="AF5" s="322"/>
      <c r="AG5" s="322"/>
      <c r="AH5" s="322"/>
      <c r="AI5" s="322"/>
      <c r="AJ5" s="323"/>
      <c r="AK5" s="15"/>
      <c r="AL5" s="15"/>
      <c r="AM5" s="324" t="s">
        <v>66</v>
      </c>
      <c r="AN5" s="324"/>
      <c r="AO5" s="324"/>
      <c r="AP5" s="324"/>
      <c r="AQ5" s="324"/>
      <c r="AR5" s="324"/>
      <c r="AS5" s="324"/>
      <c r="AT5" s="324"/>
      <c r="AU5" s="324"/>
      <c r="AV5" s="324"/>
      <c r="AW5" s="324"/>
      <c r="AX5" s="324"/>
      <c r="AY5" s="324"/>
      <c r="AZ5" s="7"/>
      <c r="BA5" s="4">
        <f>COUNT(B9:B10)</f>
        <v>1</v>
      </c>
      <c r="BB5" s="4">
        <f>COUNT(B23:F24)</f>
        <v>1</v>
      </c>
      <c r="BC5" s="4">
        <f>COUNT(B23:F23,B25:F25)</f>
        <v>1</v>
      </c>
      <c r="BD5" s="4">
        <f>COUNT(B23:B26)</f>
        <v>1</v>
      </c>
      <c r="BE5" s="4">
        <f>COUNT(D23:D26)</f>
        <v>0</v>
      </c>
      <c r="BF5" s="4">
        <f>COUNT(F23:F26)</f>
        <v>0</v>
      </c>
      <c r="BG5" s="7"/>
      <c r="BH5" s="7"/>
      <c r="BI5" s="7"/>
      <c r="BJ5" s="318"/>
    </row>
    <row r="6" spans="1:62" ht="13.5" x14ac:dyDescent="0.25">
      <c r="A6" s="318"/>
      <c r="B6" s="325" t="s">
        <v>191</v>
      </c>
      <c r="C6" s="326"/>
      <c r="D6" s="17"/>
      <c r="E6" s="325" t="s">
        <v>192</v>
      </c>
      <c r="F6" s="327"/>
      <c r="G6" s="326"/>
      <c r="H6" s="17"/>
      <c r="I6" s="18" t="str">
        <f>IF(U6&lt;&gt;0,CONCATENATE(BC6," (",BD6,")"),CONCATENATE(,"PROVIDE ",BC6," (",BD6,") =&gt;"))</f>
        <v>THICKNESS (micron)</v>
      </c>
      <c r="J6" s="18"/>
      <c r="K6" s="18"/>
      <c r="L6" s="18"/>
      <c r="M6" s="18"/>
      <c r="N6" s="18"/>
      <c r="O6" s="18"/>
      <c r="P6" s="18"/>
      <c r="Q6" s="18"/>
      <c r="R6" s="18"/>
      <c r="S6" s="18"/>
      <c r="T6" s="18"/>
      <c r="U6" s="19">
        <v>100</v>
      </c>
      <c r="V6" s="20"/>
      <c r="W6" s="21"/>
      <c r="X6" s="18" t="str">
        <f>IF(AJ6&lt;&gt;0,CONCATENATE(BC6," (",BD6,")"),CONCATENATE(,"PROVIDE ",BC6," (",BD6,") =&gt;"))</f>
        <v>THICKNESS (micron)</v>
      </c>
      <c r="Y6" s="18"/>
      <c r="Z6" s="18"/>
      <c r="AA6" s="18"/>
      <c r="AB6" s="18"/>
      <c r="AC6" s="18"/>
      <c r="AD6" s="18"/>
      <c r="AE6" s="18"/>
      <c r="AF6" s="18"/>
      <c r="AG6" s="18"/>
      <c r="AH6" s="18"/>
      <c r="AI6" s="18"/>
      <c r="AJ6" s="19">
        <v>80</v>
      </c>
      <c r="AK6" s="20"/>
      <c r="AL6" s="20"/>
      <c r="AM6" s="18" t="str">
        <f>CONCATENATE(BC6," (",BD6,")")</f>
        <v>THICKNESS (micron)</v>
      </c>
      <c r="AN6" s="18"/>
      <c r="AO6" s="18"/>
      <c r="AP6" s="18"/>
      <c r="AQ6" s="18"/>
      <c r="AR6" s="18"/>
      <c r="AS6" s="18"/>
      <c r="AT6" s="18"/>
      <c r="AU6" s="18"/>
      <c r="AV6" s="18"/>
      <c r="AW6" s="18"/>
      <c r="AX6" s="18"/>
      <c r="AY6" s="196">
        <f>U6</f>
        <v>100</v>
      </c>
      <c r="AZ6" s="7"/>
      <c r="BA6" s="4">
        <f>3*(BA5*4+BB5*2+BC5)+(3*BD5+2*BE5+BF5)</f>
        <v>24</v>
      </c>
      <c r="BB6" s="4" t="str">
        <f>LOOKUP(1,B9:C11,C9:C11)</f>
        <v>TON</v>
      </c>
      <c r="BC6" s="4" t="str">
        <f>IF(BD5=1,"THICKNESS",IF(BE5=1,"SECTION","VOLUME"))</f>
        <v>THICKNESS</v>
      </c>
      <c r="BD6" s="4" t="str">
        <f>IF(BD5=1,LOOKUP(1,B23:B26,C23:C26),IF(BE5=1,LOOKUP(1,D23:D26,E23:E26),LOOKUP(1,F23:F26,G23:G26)))</f>
        <v>micron</v>
      </c>
      <c r="BE6" s="90"/>
      <c r="BF6" s="90"/>
      <c r="BG6" s="7"/>
      <c r="BH6" s="7"/>
      <c r="BI6" s="7"/>
      <c r="BJ6" s="318"/>
    </row>
    <row r="7" spans="1:62" ht="3" customHeight="1" x14ac:dyDescent="0.25">
      <c r="A7" s="318"/>
      <c r="B7" s="11"/>
      <c r="C7" s="11"/>
      <c r="D7" s="11"/>
      <c r="E7" s="11"/>
      <c r="F7" s="11"/>
      <c r="G7" s="11"/>
      <c r="H7" s="11"/>
      <c r="I7" s="22"/>
      <c r="J7" s="22"/>
      <c r="K7" s="22"/>
      <c r="L7" s="22"/>
      <c r="M7" s="22"/>
      <c r="N7" s="22"/>
      <c r="O7" s="22"/>
      <c r="P7" s="22"/>
      <c r="Q7" s="22"/>
      <c r="R7" s="22"/>
      <c r="S7" s="22"/>
      <c r="T7" s="22"/>
      <c r="U7" s="23"/>
      <c r="V7" s="24"/>
      <c r="W7" s="23"/>
      <c r="X7" s="23"/>
      <c r="Y7" s="23"/>
      <c r="Z7" s="23"/>
      <c r="AA7" s="23"/>
      <c r="AB7" s="23"/>
      <c r="AC7" s="23"/>
      <c r="AD7" s="23"/>
      <c r="AE7" s="23"/>
      <c r="AF7" s="23"/>
      <c r="AG7" s="23"/>
      <c r="AH7" s="23"/>
      <c r="AI7" s="23"/>
      <c r="AJ7" s="23"/>
      <c r="AK7" s="24"/>
      <c r="AL7" s="24"/>
      <c r="AM7" s="24"/>
      <c r="AN7" s="24"/>
      <c r="AO7" s="24"/>
      <c r="AP7" s="24"/>
      <c r="AQ7" s="24"/>
      <c r="AR7" s="24"/>
      <c r="AS7" s="24"/>
      <c r="AT7" s="24"/>
      <c r="AU7" s="24"/>
      <c r="AV7" s="24"/>
      <c r="AW7" s="24"/>
      <c r="AX7" s="24"/>
      <c r="AY7" s="24"/>
      <c r="AZ7" s="7"/>
      <c r="BA7" s="7"/>
      <c r="BB7" s="7"/>
      <c r="BC7" s="7"/>
      <c r="BD7" s="7"/>
      <c r="BE7" s="90"/>
      <c r="BF7" s="90"/>
      <c r="BG7" s="7"/>
      <c r="BH7" s="7"/>
      <c r="BI7" s="7"/>
      <c r="BJ7" s="318"/>
    </row>
    <row r="8" spans="1:62" ht="13.5" x14ac:dyDescent="0.25">
      <c r="A8" s="318"/>
      <c r="B8" s="25" t="str">
        <f>IF(COUNT(B9:B11)&gt;1,"&gt;1 UNIT SELECTED",IF(COUNT(B9:B11)=0,"NO UNIT SELECTED","WEIGHT UNIT"))</f>
        <v>WEIGHT UNIT</v>
      </c>
      <c r="C8" s="25"/>
      <c r="D8" s="26"/>
      <c r="E8" s="199" t="s">
        <v>18</v>
      </c>
      <c r="F8" s="199" t="str">
        <f>CONCATENATE(B6,"/",BB6)</f>
        <v>USD/TON</v>
      </c>
      <c r="G8" s="199" t="s">
        <v>19</v>
      </c>
      <c r="H8" s="11"/>
      <c r="I8" s="2" t="s">
        <v>2</v>
      </c>
      <c r="J8" s="27">
        <v>1</v>
      </c>
      <c r="K8" s="27">
        <v>1</v>
      </c>
      <c r="L8" s="27">
        <v>1</v>
      </c>
      <c r="M8" s="27">
        <v>1</v>
      </c>
      <c r="N8" s="27">
        <v>1</v>
      </c>
      <c r="O8" s="27"/>
      <c r="P8" s="27"/>
      <c r="Q8" s="27"/>
      <c r="R8" s="27"/>
      <c r="S8" s="27"/>
      <c r="T8" s="27"/>
      <c r="U8" s="199"/>
      <c r="V8" s="28"/>
      <c r="W8" s="23"/>
      <c r="X8" s="2" t="s">
        <v>2</v>
      </c>
      <c r="Y8" s="27">
        <v>1</v>
      </c>
      <c r="Z8" s="27">
        <v>1</v>
      </c>
      <c r="AA8" s="27">
        <v>1</v>
      </c>
      <c r="AB8" s="27">
        <v>1</v>
      </c>
      <c r="AC8" s="27">
        <v>1</v>
      </c>
      <c r="AD8" s="27"/>
      <c r="AE8" s="27"/>
      <c r="AF8" s="27"/>
      <c r="AG8" s="27"/>
      <c r="AH8" s="27"/>
      <c r="AI8" s="27"/>
      <c r="AJ8" s="199"/>
      <c r="AK8" s="28"/>
      <c r="AL8" s="28"/>
      <c r="AM8" s="2" t="s">
        <v>2</v>
      </c>
      <c r="AN8" s="29">
        <f>Y8</f>
        <v>1</v>
      </c>
      <c r="AO8" s="29">
        <f>Z8</f>
        <v>1</v>
      </c>
      <c r="AP8" s="29">
        <f>AA8</f>
        <v>1</v>
      </c>
      <c r="AQ8" s="29">
        <f>AB8</f>
        <v>1</v>
      </c>
      <c r="AR8" s="29">
        <f t="shared" ref="AR8:AX19" si="0">AC8</f>
        <v>1</v>
      </c>
      <c r="AS8" s="29">
        <f t="shared" si="0"/>
        <v>0</v>
      </c>
      <c r="AT8" s="29">
        <f t="shared" si="0"/>
        <v>0</v>
      </c>
      <c r="AU8" s="29">
        <f t="shared" si="0"/>
        <v>0</v>
      </c>
      <c r="AV8" s="29">
        <f t="shared" si="0"/>
        <v>0</v>
      </c>
      <c r="AW8" s="29">
        <f t="shared" si="0"/>
        <v>0</v>
      </c>
      <c r="AX8" s="29">
        <f t="shared" si="0"/>
        <v>0</v>
      </c>
      <c r="AY8" s="199"/>
      <c r="AZ8" s="7"/>
      <c r="BA8" s="4" t="s">
        <v>72</v>
      </c>
      <c r="BB8" s="4" t="s">
        <v>71</v>
      </c>
      <c r="BC8" s="4" t="s">
        <v>73</v>
      </c>
      <c r="BD8" s="5" t="s">
        <v>74</v>
      </c>
      <c r="BE8" s="90"/>
      <c r="BF8" s="90"/>
      <c r="BG8" s="7"/>
      <c r="BH8" s="5" t="s">
        <v>3</v>
      </c>
      <c r="BI8" s="5" t="s">
        <v>4</v>
      </c>
      <c r="BJ8" s="318"/>
    </row>
    <row r="9" spans="1:62" ht="13.5" x14ac:dyDescent="0.25">
      <c r="A9" s="318"/>
      <c r="B9" s="30"/>
      <c r="C9" s="4" t="s">
        <v>5</v>
      </c>
      <c r="D9" s="31"/>
      <c r="E9" s="32" t="s">
        <v>193</v>
      </c>
      <c r="F9" s="33">
        <v>1000</v>
      </c>
      <c r="G9" s="34">
        <v>0.92</v>
      </c>
      <c r="H9" s="11"/>
      <c r="I9" s="4" t="str">
        <f>IF($E9="","",$E9)</f>
        <v>Enable 2005</v>
      </c>
      <c r="J9" s="35">
        <v>0.1</v>
      </c>
      <c r="K9" s="35"/>
      <c r="L9" s="35"/>
      <c r="M9" s="35">
        <v>0.5</v>
      </c>
      <c r="N9" s="35">
        <v>0.25</v>
      </c>
      <c r="O9" s="35"/>
      <c r="P9" s="35"/>
      <c r="Q9" s="35"/>
      <c r="R9" s="35"/>
      <c r="S9" s="35"/>
      <c r="T9" s="35"/>
      <c r="U9" s="36">
        <f>SUMPRODUCT(J9:T9,J20:T20)</f>
        <v>0.17</v>
      </c>
      <c r="V9" s="37">
        <f>IF($C$13&lt;&gt;1,U9*$G9,IF(U9&lt;&gt;0,U9/$G9,""))</f>
        <v>0.18478260869565219</v>
      </c>
      <c r="W9" s="38"/>
      <c r="X9" s="4" t="str">
        <f>IF($E9="","",$E9)</f>
        <v>Enable 2005</v>
      </c>
      <c r="Y9" s="35"/>
      <c r="Z9" s="35">
        <v>1</v>
      </c>
      <c r="AA9" s="35"/>
      <c r="AB9" s="35">
        <v>0.6</v>
      </c>
      <c r="AC9" s="35">
        <v>0.9</v>
      </c>
      <c r="AD9" s="35"/>
      <c r="AE9" s="35"/>
      <c r="AF9" s="35"/>
      <c r="AG9" s="35"/>
      <c r="AH9" s="35"/>
      <c r="AI9" s="35"/>
      <c r="AJ9" s="36">
        <f>SUMPRODUCT(Y9:AI9,Y20:AI20)</f>
        <v>0.5</v>
      </c>
      <c r="AK9" s="37">
        <f t="shared" ref="AK9:AK19" si="1">IF($C$13&lt;&gt;1,AJ9*$G9,IF(AJ9&lt;&gt;0,AJ9/$G9,""))</f>
        <v>0.54347826086956519</v>
      </c>
      <c r="AL9" s="39"/>
      <c r="AM9" s="4" t="str">
        <f t="shared" ref="AM9:AM18" si="2">$E9</f>
        <v>Enable 2005</v>
      </c>
      <c r="AN9" s="40">
        <f t="shared" ref="AN9:AN19" si="3">Y9</f>
        <v>0</v>
      </c>
      <c r="AO9" s="40">
        <f t="shared" ref="AO9:AO19" si="4">Z9</f>
        <v>1</v>
      </c>
      <c r="AP9" s="40">
        <f t="shared" ref="AP9:AP19" si="5">AA9</f>
        <v>0</v>
      </c>
      <c r="AQ9" s="40">
        <f t="shared" ref="AQ9:AQ19" si="6">AB9</f>
        <v>0.6</v>
      </c>
      <c r="AR9" s="40">
        <f t="shared" si="0"/>
        <v>0.9</v>
      </c>
      <c r="AS9" s="40">
        <f t="shared" si="0"/>
        <v>0</v>
      </c>
      <c r="AT9" s="40">
        <f t="shared" si="0"/>
        <v>0</v>
      </c>
      <c r="AU9" s="40">
        <f t="shared" si="0"/>
        <v>0</v>
      </c>
      <c r="AV9" s="40">
        <f t="shared" si="0"/>
        <v>0</v>
      </c>
      <c r="AW9" s="40">
        <f t="shared" si="0"/>
        <v>0</v>
      </c>
      <c r="AX9" s="40">
        <f t="shared" si="0"/>
        <v>0</v>
      </c>
      <c r="AY9" s="36">
        <f>SUMPRODUCT(AN9:AX9,AN20:AX20)</f>
        <v>0.5</v>
      </c>
      <c r="AZ9" s="37">
        <f t="shared" ref="AZ9:AZ19" si="7">IF($C$13&lt;&gt;1,AY9*$G9,IF(AY9&lt;&gt;0,AY9/$G9,""))</f>
        <v>0.54347826086956519</v>
      </c>
      <c r="BA9" s="4" t="s">
        <v>6</v>
      </c>
      <c r="BB9" s="4" t="s">
        <v>7</v>
      </c>
      <c r="BC9" s="4">
        <v>1</v>
      </c>
      <c r="BD9" s="5" t="s">
        <v>8</v>
      </c>
      <c r="BE9" s="5"/>
      <c r="BF9" s="5"/>
      <c r="BG9" s="5" t="s">
        <v>8</v>
      </c>
      <c r="BH9" s="4">
        <f t="shared" ref="BH9:BH32" si="8">IF(B$10=1,0.001,1)</f>
        <v>1E-3</v>
      </c>
      <c r="BI9" s="5">
        <f t="shared" ref="BI9:BI32" si="9">BH9*BE9</f>
        <v>0</v>
      </c>
      <c r="BJ9" s="318"/>
    </row>
    <row r="10" spans="1:62" ht="13.5" x14ac:dyDescent="0.25">
      <c r="A10" s="318"/>
      <c r="B10" s="41">
        <v>1</v>
      </c>
      <c r="C10" s="4" t="s">
        <v>9</v>
      </c>
      <c r="D10" s="31"/>
      <c r="E10" s="42" t="s">
        <v>194</v>
      </c>
      <c r="F10" s="43">
        <v>1000</v>
      </c>
      <c r="G10" s="44">
        <v>0.91800000000000004</v>
      </c>
      <c r="H10" s="11"/>
      <c r="I10" s="4" t="str">
        <f t="shared" ref="I10:I18" si="10">IF($E10="","",$E10)</f>
        <v>Exceed 1018</v>
      </c>
      <c r="J10" s="45">
        <v>0.9</v>
      </c>
      <c r="K10" s="45">
        <v>0.5</v>
      </c>
      <c r="L10" s="45"/>
      <c r="M10" s="45"/>
      <c r="N10" s="45">
        <v>0.3</v>
      </c>
      <c r="O10" s="45"/>
      <c r="P10" s="45"/>
      <c r="Q10" s="45"/>
      <c r="R10" s="45"/>
      <c r="S10" s="45"/>
      <c r="T10" s="45"/>
      <c r="U10" s="36">
        <f>SUMPRODUCT(J10:T10,J20:T20)</f>
        <v>0.34</v>
      </c>
      <c r="V10" s="37">
        <f t="shared" ref="V10:V17" si="11">IF($C$13&lt;&gt;1,U10*$G10,IF(U10&lt;&gt;0,U10/$G10,""))</f>
        <v>0.37037037037037041</v>
      </c>
      <c r="W10" s="38"/>
      <c r="X10" s="4" t="str">
        <f t="shared" ref="X10:X18" si="12">IF($E10="","",$E10)</f>
        <v>Exceed 1018</v>
      </c>
      <c r="Y10" s="45">
        <v>0.1</v>
      </c>
      <c r="Z10" s="45"/>
      <c r="AA10" s="45"/>
      <c r="AB10" s="45">
        <v>0.4</v>
      </c>
      <c r="AC10" s="45"/>
      <c r="AD10" s="45"/>
      <c r="AE10" s="45"/>
      <c r="AF10" s="45"/>
      <c r="AG10" s="45"/>
      <c r="AH10" s="45"/>
      <c r="AI10" s="45"/>
      <c r="AJ10" s="36">
        <f>SUMPRODUCT(Y10:AI10,Y20:AI20)</f>
        <v>0.10000000000000002</v>
      </c>
      <c r="AK10" s="37">
        <f t="shared" si="1"/>
        <v>0.10893246187363836</v>
      </c>
      <c r="AL10" s="39"/>
      <c r="AM10" s="4" t="str">
        <f t="shared" si="2"/>
        <v>Exceed 1018</v>
      </c>
      <c r="AN10" s="40">
        <f t="shared" si="3"/>
        <v>0.1</v>
      </c>
      <c r="AO10" s="40">
        <f t="shared" si="4"/>
        <v>0</v>
      </c>
      <c r="AP10" s="40">
        <f t="shared" si="5"/>
        <v>0</v>
      </c>
      <c r="AQ10" s="40">
        <f t="shared" si="6"/>
        <v>0.4</v>
      </c>
      <c r="AR10" s="40">
        <f t="shared" si="0"/>
        <v>0</v>
      </c>
      <c r="AS10" s="40">
        <f t="shared" si="0"/>
        <v>0</v>
      </c>
      <c r="AT10" s="40">
        <f t="shared" si="0"/>
        <v>0</v>
      </c>
      <c r="AU10" s="40">
        <f t="shared" si="0"/>
        <v>0</v>
      </c>
      <c r="AV10" s="40">
        <f t="shared" si="0"/>
        <v>0</v>
      </c>
      <c r="AW10" s="40">
        <f t="shared" si="0"/>
        <v>0</v>
      </c>
      <c r="AX10" s="40">
        <f t="shared" si="0"/>
        <v>0</v>
      </c>
      <c r="AY10" s="36">
        <f>SUMPRODUCT(AN10:AX10,AN20:AX20)</f>
        <v>0.10000000000000002</v>
      </c>
      <c r="AZ10" s="37">
        <f t="shared" si="7"/>
        <v>0.10893246187363836</v>
      </c>
      <c r="BA10" s="4" t="s">
        <v>6</v>
      </c>
      <c r="BB10" s="4" t="s">
        <v>10</v>
      </c>
      <c r="BC10" s="4">
        <v>2</v>
      </c>
      <c r="BD10" s="5" t="s">
        <v>11</v>
      </c>
      <c r="BE10" s="4">
        <f>(25.4*0.001)^2*(0.3048)*2.2046*1000</f>
        <v>0.43352305553280002</v>
      </c>
      <c r="BF10" s="5" t="s">
        <v>89</v>
      </c>
      <c r="BG10" s="5" t="s">
        <v>12</v>
      </c>
      <c r="BH10" s="4">
        <f t="shared" si="8"/>
        <v>1E-3</v>
      </c>
      <c r="BI10" s="5">
        <f>BH10*BE10</f>
        <v>4.3352305553280004E-4</v>
      </c>
      <c r="BJ10" s="318"/>
    </row>
    <row r="11" spans="1:62" ht="13.5" x14ac:dyDescent="0.25">
      <c r="A11" s="318"/>
      <c r="B11" s="47"/>
      <c r="C11" s="4" t="s">
        <v>6</v>
      </c>
      <c r="D11" s="31"/>
      <c r="E11" s="41" t="s">
        <v>195</v>
      </c>
      <c r="F11" s="48">
        <v>1000</v>
      </c>
      <c r="G11" s="49">
        <v>0.91200000000000003</v>
      </c>
      <c r="H11" s="11"/>
      <c r="I11" s="4" t="str">
        <f t="shared" si="10"/>
        <v>Exceed 1012</v>
      </c>
      <c r="J11" s="344"/>
      <c r="K11" s="344">
        <v>0.5</v>
      </c>
      <c r="L11" s="344"/>
      <c r="M11" s="344">
        <v>0.5</v>
      </c>
      <c r="N11" s="344">
        <v>0.2</v>
      </c>
      <c r="O11" s="45"/>
      <c r="P11" s="45"/>
      <c r="Q11" s="45"/>
      <c r="R11" s="45"/>
      <c r="S11" s="45"/>
      <c r="T11" s="45"/>
      <c r="U11" s="36">
        <f>SUMPRODUCT(J11:T11,J20:T20)</f>
        <v>0.24000000000000002</v>
      </c>
      <c r="V11" s="37">
        <f t="shared" si="11"/>
        <v>0.26315789473684209</v>
      </c>
      <c r="W11" s="38"/>
      <c r="X11" s="4" t="str">
        <f t="shared" si="12"/>
        <v>Exceed 1012</v>
      </c>
      <c r="Y11" s="45"/>
      <c r="Z11" s="45"/>
      <c r="AA11" s="45">
        <v>1</v>
      </c>
      <c r="AB11" s="45"/>
      <c r="AC11" s="45"/>
      <c r="AD11" s="45"/>
      <c r="AE11" s="45"/>
      <c r="AF11" s="45"/>
      <c r="AG11" s="45"/>
      <c r="AH11" s="45"/>
      <c r="AI11" s="45"/>
      <c r="AJ11" s="36">
        <f>SUMPRODUCT(Y11:AI11,Y20:AI20)</f>
        <v>0.2</v>
      </c>
      <c r="AK11" s="37">
        <f t="shared" si="1"/>
        <v>0.2192982456140351</v>
      </c>
      <c r="AL11" s="39"/>
      <c r="AM11" s="4" t="str">
        <f t="shared" si="2"/>
        <v>Exceed 1012</v>
      </c>
      <c r="AN11" s="40">
        <f t="shared" si="3"/>
        <v>0</v>
      </c>
      <c r="AO11" s="40">
        <f t="shared" si="4"/>
        <v>0</v>
      </c>
      <c r="AP11" s="40">
        <f t="shared" si="5"/>
        <v>1</v>
      </c>
      <c r="AQ11" s="40">
        <f t="shared" si="6"/>
        <v>0</v>
      </c>
      <c r="AR11" s="40">
        <f t="shared" si="0"/>
        <v>0</v>
      </c>
      <c r="AS11" s="40">
        <f t="shared" si="0"/>
        <v>0</v>
      </c>
      <c r="AT11" s="40">
        <f t="shared" si="0"/>
        <v>0</v>
      </c>
      <c r="AU11" s="40">
        <f t="shared" si="0"/>
        <v>0</v>
      </c>
      <c r="AV11" s="40">
        <f t="shared" si="0"/>
        <v>0</v>
      </c>
      <c r="AW11" s="40">
        <f t="shared" si="0"/>
        <v>0</v>
      </c>
      <c r="AX11" s="40">
        <f t="shared" si="0"/>
        <v>0</v>
      </c>
      <c r="AY11" s="36">
        <f>SUMPRODUCT(AN11:AX11,AN20:AX20)</f>
        <v>0.2</v>
      </c>
      <c r="AZ11" s="37">
        <f t="shared" si="7"/>
        <v>0.2192982456140351</v>
      </c>
      <c r="BA11" s="4" t="s">
        <v>6</v>
      </c>
      <c r="BB11" s="4" t="s">
        <v>13</v>
      </c>
      <c r="BC11" s="4">
        <v>3</v>
      </c>
      <c r="BD11" s="5" t="s">
        <v>14</v>
      </c>
      <c r="BE11" s="4">
        <f>(25.4*0.001)*(0.3048)^2*2.2046*1000</f>
        <v>5.2022766663936002</v>
      </c>
      <c r="BF11" s="5" t="s">
        <v>88</v>
      </c>
      <c r="BG11" s="5" t="s">
        <v>15</v>
      </c>
      <c r="BH11" s="4">
        <f t="shared" si="8"/>
        <v>1E-3</v>
      </c>
      <c r="BI11" s="5">
        <f t="shared" si="9"/>
        <v>5.2022766663936005E-3</v>
      </c>
      <c r="BJ11" s="318"/>
    </row>
    <row r="12" spans="1:62" ht="13.5" x14ac:dyDescent="0.25">
      <c r="A12" s="318"/>
      <c r="B12" s="11"/>
      <c r="C12" s="11"/>
      <c r="D12" s="11"/>
      <c r="E12" s="41" t="s">
        <v>196</v>
      </c>
      <c r="F12" s="48">
        <v>1000</v>
      </c>
      <c r="G12" s="49">
        <v>0.91800000000000004</v>
      </c>
      <c r="H12" s="11"/>
      <c r="I12" s="4" t="str">
        <f t="shared" si="10"/>
        <v>Exceed 3518</v>
      </c>
      <c r="J12" s="344"/>
      <c r="K12" s="344"/>
      <c r="L12" s="344">
        <v>1</v>
      </c>
      <c r="M12" s="344"/>
      <c r="N12" s="344">
        <v>0.25</v>
      </c>
      <c r="O12" s="45"/>
      <c r="P12" s="45"/>
      <c r="Q12" s="45"/>
      <c r="R12" s="45"/>
      <c r="S12" s="45"/>
      <c r="T12" s="45"/>
      <c r="U12" s="36">
        <f>SUMPRODUCT(J12:T12,J20:T20)</f>
        <v>0.25</v>
      </c>
      <c r="V12" s="37">
        <f t="shared" si="11"/>
        <v>0.27233115468409586</v>
      </c>
      <c r="W12" s="38"/>
      <c r="X12" s="4" t="str">
        <f t="shared" si="12"/>
        <v>Exceed 3518</v>
      </c>
      <c r="Y12" s="45">
        <v>0.9</v>
      </c>
      <c r="Z12" s="45"/>
      <c r="AA12" s="45"/>
      <c r="AB12" s="45"/>
      <c r="AC12" s="45">
        <v>0.1</v>
      </c>
      <c r="AD12" s="45"/>
      <c r="AE12" s="45"/>
      <c r="AF12" s="45"/>
      <c r="AG12" s="45"/>
      <c r="AH12" s="45"/>
      <c r="AI12" s="45"/>
      <c r="AJ12" s="36">
        <f>SUMPRODUCT(Y12:AI12,Y20:AI20)</f>
        <v>0.2</v>
      </c>
      <c r="AK12" s="37">
        <f t="shared" si="1"/>
        <v>0.2178649237472767</v>
      </c>
      <c r="AL12" s="39"/>
      <c r="AM12" s="4" t="str">
        <f t="shared" si="2"/>
        <v>Exceed 3518</v>
      </c>
      <c r="AN12" s="40">
        <f t="shared" si="3"/>
        <v>0.9</v>
      </c>
      <c r="AO12" s="40">
        <f t="shared" si="4"/>
        <v>0</v>
      </c>
      <c r="AP12" s="40">
        <f t="shared" si="5"/>
        <v>0</v>
      </c>
      <c r="AQ12" s="40">
        <f t="shared" si="6"/>
        <v>0</v>
      </c>
      <c r="AR12" s="40">
        <f t="shared" si="0"/>
        <v>0.1</v>
      </c>
      <c r="AS12" s="40">
        <f t="shared" si="0"/>
        <v>0</v>
      </c>
      <c r="AT12" s="40">
        <f t="shared" si="0"/>
        <v>0</v>
      </c>
      <c r="AU12" s="40">
        <f t="shared" si="0"/>
        <v>0</v>
      </c>
      <c r="AV12" s="40">
        <f t="shared" si="0"/>
        <v>0</v>
      </c>
      <c r="AW12" s="40">
        <f t="shared" si="0"/>
        <v>0</v>
      </c>
      <c r="AX12" s="40">
        <f t="shared" si="0"/>
        <v>0</v>
      </c>
      <c r="AY12" s="36">
        <f>SUMPRODUCT(AN12:AX12,AN20:AX20)</f>
        <v>0.2</v>
      </c>
      <c r="AZ12" s="37">
        <f t="shared" si="7"/>
        <v>0.2178649237472767</v>
      </c>
      <c r="BA12" s="4" t="s">
        <v>6</v>
      </c>
      <c r="BB12" s="4" t="s">
        <v>16</v>
      </c>
      <c r="BC12" s="4">
        <v>4</v>
      </c>
      <c r="BD12" s="5" t="s">
        <v>17</v>
      </c>
      <c r="BE12" s="4">
        <f>3.7854*2.2046</f>
        <v>8.3452928400000008</v>
      </c>
      <c r="BF12" s="5" t="s">
        <v>92</v>
      </c>
      <c r="BG12" s="5" t="s">
        <v>16</v>
      </c>
      <c r="BH12" s="4">
        <f t="shared" si="8"/>
        <v>1E-3</v>
      </c>
      <c r="BI12" s="5">
        <f t="shared" si="9"/>
        <v>8.3452928400000008E-3</v>
      </c>
      <c r="BJ12" s="318"/>
    </row>
    <row r="13" spans="1:62" ht="13.5" x14ac:dyDescent="0.25">
      <c r="A13" s="318"/>
      <c r="B13" s="199" t="s">
        <v>70</v>
      </c>
      <c r="C13" s="157">
        <v>1</v>
      </c>
      <c r="D13" s="50"/>
      <c r="E13" s="41"/>
      <c r="F13" s="48"/>
      <c r="G13" s="49"/>
      <c r="H13" s="51"/>
      <c r="I13" s="4" t="str">
        <f t="shared" si="10"/>
        <v/>
      </c>
      <c r="J13" s="344"/>
      <c r="K13" s="344"/>
      <c r="L13" s="344"/>
      <c r="M13" s="344"/>
      <c r="N13" s="344"/>
      <c r="O13" s="45"/>
      <c r="P13" s="45"/>
      <c r="Q13" s="45"/>
      <c r="R13" s="45"/>
      <c r="S13" s="45"/>
      <c r="T13" s="45"/>
      <c r="U13" s="36">
        <f>SUMPRODUCT(J13:T13,J20:T20)</f>
        <v>0</v>
      </c>
      <c r="V13" s="37" t="str">
        <f t="shared" si="11"/>
        <v/>
      </c>
      <c r="W13" s="38"/>
      <c r="X13" s="4" t="str">
        <f t="shared" si="12"/>
        <v/>
      </c>
      <c r="Y13" s="45"/>
      <c r="Z13" s="45"/>
      <c r="AA13" s="45"/>
      <c r="AB13" s="45"/>
      <c r="AC13" s="45"/>
      <c r="AD13" s="45"/>
      <c r="AE13" s="45"/>
      <c r="AF13" s="45"/>
      <c r="AG13" s="45"/>
      <c r="AH13" s="45"/>
      <c r="AI13" s="45"/>
      <c r="AJ13" s="36">
        <f>SUMPRODUCT(Y13:AI13,Y20:AI20)</f>
        <v>0</v>
      </c>
      <c r="AK13" s="37" t="str">
        <f t="shared" si="1"/>
        <v/>
      </c>
      <c r="AL13" s="39"/>
      <c r="AM13" s="4">
        <f t="shared" si="2"/>
        <v>0</v>
      </c>
      <c r="AN13" s="40">
        <f t="shared" si="3"/>
        <v>0</v>
      </c>
      <c r="AO13" s="40">
        <f t="shared" si="4"/>
        <v>0</v>
      </c>
      <c r="AP13" s="40">
        <f t="shared" si="5"/>
        <v>0</v>
      </c>
      <c r="AQ13" s="40">
        <f t="shared" si="6"/>
        <v>0</v>
      </c>
      <c r="AR13" s="40">
        <f t="shared" si="0"/>
        <v>0</v>
      </c>
      <c r="AS13" s="40">
        <f t="shared" si="0"/>
        <v>0</v>
      </c>
      <c r="AT13" s="40">
        <f t="shared" si="0"/>
        <v>0</v>
      </c>
      <c r="AU13" s="40">
        <f t="shared" si="0"/>
        <v>0</v>
      </c>
      <c r="AV13" s="40">
        <f t="shared" si="0"/>
        <v>0</v>
      </c>
      <c r="AW13" s="40">
        <f t="shared" si="0"/>
        <v>0</v>
      </c>
      <c r="AX13" s="40">
        <f t="shared" si="0"/>
        <v>0</v>
      </c>
      <c r="AY13" s="36">
        <f>SUMPRODUCT(AN13:AX13,AN20:AX20)</f>
        <v>0</v>
      </c>
      <c r="AZ13" s="37" t="str">
        <f t="shared" si="7"/>
        <v/>
      </c>
      <c r="BA13" s="4" t="s">
        <v>6</v>
      </c>
      <c r="BB13" s="4" t="s">
        <v>20</v>
      </c>
      <c r="BC13" s="4">
        <v>5</v>
      </c>
      <c r="BD13" s="5" t="s">
        <v>11</v>
      </c>
      <c r="BE13" s="4">
        <f>(25.4*0.000001)^2*(0.3048)*2.2046*1000</f>
        <v>4.3352305553279992E-7</v>
      </c>
      <c r="BF13" s="5" t="s">
        <v>89</v>
      </c>
      <c r="BG13" s="5" t="s">
        <v>12</v>
      </c>
      <c r="BH13" s="4">
        <f t="shared" si="8"/>
        <v>1E-3</v>
      </c>
      <c r="BI13" s="5">
        <f t="shared" si="9"/>
        <v>4.3352305553279994E-10</v>
      </c>
      <c r="BJ13" s="318"/>
    </row>
    <row r="14" spans="1:62" ht="13.5" x14ac:dyDescent="0.25">
      <c r="A14" s="318"/>
      <c r="B14" s="11"/>
      <c r="C14" s="11"/>
      <c r="D14" s="11"/>
      <c r="E14" s="41"/>
      <c r="F14" s="48"/>
      <c r="G14" s="49"/>
      <c r="H14" s="11"/>
      <c r="I14" s="4" t="str">
        <f t="shared" si="10"/>
        <v/>
      </c>
      <c r="J14" s="45"/>
      <c r="K14" s="45"/>
      <c r="L14" s="45"/>
      <c r="M14" s="45"/>
      <c r="N14" s="45"/>
      <c r="O14" s="45"/>
      <c r="P14" s="45"/>
      <c r="Q14" s="45"/>
      <c r="R14" s="45"/>
      <c r="S14" s="45"/>
      <c r="T14" s="45"/>
      <c r="U14" s="36">
        <f>SUMPRODUCT(J14:T14,J20:T20)</f>
        <v>0</v>
      </c>
      <c r="V14" s="37" t="str">
        <f t="shared" si="11"/>
        <v/>
      </c>
      <c r="W14" s="38"/>
      <c r="X14" s="4" t="str">
        <f t="shared" si="12"/>
        <v/>
      </c>
      <c r="Y14" s="45"/>
      <c r="Z14" s="45"/>
      <c r="AA14" s="45"/>
      <c r="AB14" s="45"/>
      <c r="AC14" s="45"/>
      <c r="AD14" s="45"/>
      <c r="AE14" s="45"/>
      <c r="AF14" s="45"/>
      <c r="AG14" s="45"/>
      <c r="AH14" s="45"/>
      <c r="AI14" s="45"/>
      <c r="AJ14" s="36">
        <f>SUMPRODUCT(Y14:AI14,Y20:AI20)</f>
        <v>0</v>
      </c>
      <c r="AK14" s="37" t="str">
        <f t="shared" si="1"/>
        <v/>
      </c>
      <c r="AL14" s="39"/>
      <c r="AM14" s="4">
        <f t="shared" si="2"/>
        <v>0</v>
      </c>
      <c r="AN14" s="40">
        <f t="shared" si="3"/>
        <v>0</v>
      </c>
      <c r="AO14" s="40">
        <f t="shared" si="4"/>
        <v>0</v>
      </c>
      <c r="AP14" s="40">
        <f t="shared" si="5"/>
        <v>0</v>
      </c>
      <c r="AQ14" s="40">
        <f t="shared" si="6"/>
        <v>0</v>
      </c>
      <c r="AR14" s="40">
        <f t="shared" si="0"/>
        <v>0</v>
      </c>
      <c r="AS14" s="40">
        <f t="shared" si="0"/>
        <v>0</v>
      </c>
      <c r="AT14" s="40">
        <f t="shared" si="0"/>
        <v>0</v>
      </c>
      <c r="AU14" s="40">
        <f t="shared" si="0"/>
        <v>0</v>
      </c>
      <c r="AV14" s="40">
        <f t="shared" si="0"/>
        <v>0</v>
      </c>
      <c r="AW14" s="40">
        <f t="shared" si="0"/>
        <v>0</v>
      </c>
      <c r="AX14" s="40">
        <f t="shared" si="0"/>
        <v>0</v>
      </c>
      <c r="AY14" s="36">
        <f>SUMPRODUCT(AN14:AX14,AN20:AX20)</f>
        <v>0</v>
      </c>
      <c r="AZ14" s="37" t="str">
        <f t="shared" si="7"/>
        <v/>
      </c>
      <c r="BA14" s="4" t="s">
        <v>6</v>
      </c>
      <c r="BB14" s="4" t="s">
        <v>21</v>
      </c>
      <c r="BC14" s="4">
        <v>6</v>
      </c>
      <c r="BD14" s="5" t="s">
        <v>14</v>
      </c>
      <c r="BE14" s="190">
        <f>(25.4*0.000001)*(0.3048)^2*2.2046*1000</f>
        <v>5.2022766663936005E-3</v>
      </c>
      <c r="BF14" s="5" t="s">
        <v>88</v>
      </c>
      <c r="BG14" s="5" t="s">
        <v>15</v>
      </c>
      <c r="BH14" s="4">
        <f t="shared" si="8"/>
        <v>1E-3</v>
      </c>
      <c r="BI14" s="5">
        <f t="shared" si="9"/>
        <v>5.202276666393601E-6</v>
      </c>
      <c r="BJ14" s="318"/>
    </row>
    <row r="15" spans="1:62" ht="13.5" x14ac:dyDescent="0.25">
      <c r="A15" s="318"/>
      <c r="B15" s="3" t="s">
        <v>102</v>
      </c>
      <c r="C15" s="157">
        <v>1</v>
      </c>
      <c r="D15" s="11"/>
      <c r="E15" s="41"/>
      <c r="F15" s="48"/>
      <c r="G15" s="49"/>
      <c r="H15" s="11"/>
      <c r="I15" s="4" t="str">
        <f t="shared" si="10"/>
        <v/>
      </c>
      <c r="J15" s="45"/>
      <c r="K15" s="45"/>
      <c r="L15" s="45"/>
      <c r="M15" s="45"/>
      <c r="N15" s="45"/>
      <c r="O15" s="45"/>
      <c r="P15" s="45"/>
      <c r="Q15" s="45"/>
      <c r="R15" s="45"/>
      <c r="S15" s="45"/>
      <c r="T15" s="45"/>
      <c r="U15" s="36">
        <f>SUMPRODUCT(J15:T15,J20:T20)</f>
        <v>0</v>
      </c>
      <c r="V15" s="37" t="str">
        <f t="shared" si="11"/>
        <v/>
      </c>
      <c r="W15" s="38"/>
      <c r="X15" s="4" t="str">
        <f t="shared" si="12"/>
        <v/>
      </c>
      <c r="Y15" s="45"/>
      <c r="Z15" s="45"/>
      <c r="AA15" s="45"/>
      <c r="AB15" s="45"/>
      <c r="AC15" s="45"/>
      <c r="AD15" s="45"/>
      <c r="AE15" s="45"/>
      <c r="AF15" s="45"/>
      <c r="AG15" s="45"/>
      <c r="AH15" s="45"/>
      <c r="AI15" s="45"/>
      <c r="AJ15" s="36">
        <f>SUMPRODUCT(Y15:AI15,Y20:AI20)</f>
        <v>0</v>
      </c>
      <c r="AK15" s="37" t="str">
        <f t="shared" si="1"/>
        <v/>
      </c>
      <c r="AL15" s="39"/>
      <c r="AM15" s="4">
        <f t="shared" si="2"/>
        <v>0</v>
      </c>
      <c r="AN15" s="40">
        <f t="shared" si="3"/>
        <v>0</v>
      </c>
      <c r="AO15" s="40">
        <f t="shared" si="4"/>
        <v>0</v>
      </c>
      <c r="AP15" s="40">
        <f t="shared" si="5"/>
        <v>0</v>
      </c>
      <c r="AQ15" s="40">
        <f t="shared" si="6"/>
        <v>0</v>
      </c>
      <c r="AR15" s="40">
        <f t="shared" si="0"/>
        <v>0</v>
      </c>
      <c r="AS15" s="40">
        <f t="shared" si="0"/>
        <v>0</v>
      </c>
      <c r="AT15" s="40">
        <f t="shared" si="0"/>
        <v>0</v>
      </c>
      <c r="AU15" s="40">
        <f t="shared" si="0"/>
        <v>0</v>
      </c>
      <c r="AV15" s="40">
        <f t="shared" si="0"/>
        <v>0</v>
      </c>
      <c r="AW15" s="40">
        <f t="shared" si="0"/>
        <v>0</v>
      </c>
      <c r="AX15" s="40">
        <f t="shared" si="0"/>
        <v>0</v>
      </c>
      <c r="AY15" s="36">
        <f>SUMPRODUCT(AN15:AX15,AN20:AX20)</f>
        <v>0</v>
      </c>
      <c r="AZ15" s="37" t="str">
        <f t="shared" si="7"/>
        <v/>
      </c>
      <c r="BA15" s="4" t="s">
        <v>6</v>
      </c>
      <c r="BB15" s="4" t="s">
        <v>7</v>
      </c>
      <c r="BC15" s="4">
        <v>7</v>
      </c>
      <c r="BD15" s="4" t="s">
        <v>8</v>
      </c>
      <c r="BE15" s="5"/>
      <c r="BF15" s="4" t="s">
        <v>8</v>
      </c>
      <c r="BG15" s="4" t="s">
        <v>8</v>
      </c>
      <c r="BH15" s="4">
        <f t="shared" si="8"/>
        <v>1E-3</v>
      </c>
      <c r="BI15" s="5">
        <f t="shared" si="9"/>
        <v>0</v>
      </c>
      <c r="BJ15" s="318"/>
    </row>
    <row r="16" spans="1:62" ht="13.5" x14ac:dyDescent="0.25">
      <c r="A16" s="318"/>
      <c r="B16" s="203"/>
      <c r="C16" s="203"/>
      <c r="D16" s="11"/>
      <c r="E16" s="41"/>
      <c r="F16" s="48"/>
      <c r="G16" s="49"/>
      <c r="H16" s="11"/>
      <c r="I16" s="4" t="str">
        <f t="shared" si="10"/>
        <v/>
      </c>
      <c r="J16" s="45"/>
      <c r="K16" s="45"/>
      <c r="L16" s="45"/>
      <c r="M16" s="45"/>
      <c r="N16" s="45"/>
      <c r="O16" s="45"/>
      <c r="P16" s="45"/>
      <c r="Q16" s="45"/>
      <c r="R16" s="45"/>
      <c r="S16" s="45"/>
      <c r="T16" s="45"/>
      <c r="U16" s="36">
        <f>SUMPRODUCT(J16:T16,J20:T20)</f>
        <v>0</v>
      </c>
      <c r="V16" s="37" t="str">
        <f t="shared" si="11"/>
        <v/>
      </c>
      <c r="W16" s="38"/>
      <c r="X16" s="4" t="str">
        <f t="shared" si="12"/>
        <v/>
      </c>
      <c r="Y16" s="45"/>
      <c r="Z16" s="45"/>
      <c r="AA16" s="45"/>
      <c r="AB16" s="45"/>
      <c r="AC16" s="45"/>
      <c r="AD16" s="45"/>
      <c r="AE16" s="45"/>
      <c r="AF16" s="45"/>
      <c r="AG16" s="45"/>
      <c r="AH16" s="45"/>
      <c r="AI16" s="45"/>
      <c r="AJ16" s="36">
        <f>SUMPRODUCT(Y16:AI16,Y20:AI20)</f>
        <v>0</v>
      </c>
      <c r="AK16" s="37" t="str">
        <f t="shared" si="1"/>
        <v/>
      </c>
      <c r="AL16" s="39"/>
      <c r="AM16" s="4">
        <f t="shared" si="2"/>
        <v>0</v>
      </c>
      <c r="AN16" s="40">
        <f t="shared" si="3"/>
        <v>0</v>
      </c>
      <c r="AO16" s="40">
        <f t="shared" si="4"/>
        <v>0</v>
      </c>
      <c r="AP16" s="40">
        <f t="shared" si="5"/>
        <v>0</v>
      </c>
      <c r="AQ16" s="40">
        <f t="shared" si="6"/>
        <v>0</v>
      </c>
      <c r="AR16" s="40">
        <f t="shared" si="0"/>
        <v>0</v>
      </c>
      <c r="AS16" s="40">
        <f t="shared" si="0"/>
        <v>0</v>
      </c>
      <c r="AT16" s="40">
        <f t="shared" si="0"/>
        <v>0</v>
      </c>
      <c r="AU16" s="40">
        <f t="shared" si="0"/>
        <v>0</v>
      </c>
      <c r="AV16" s="40">
        <f t="shared" si="0"/>
        <v>0</v>
      </c>
      <c r="AW16" s="40">
        <f t="shared" si="0"/>
        <v>0</v>
      </c>
      <c r="AX16" s="40">
        <f t="shared" si="0"/>
        <v>0</v>
      </c>
      <c r="AY16" s="36">
        <f>SUMPRODUCT(AN16:AX16,AN20:AX20)</f>
        <v>0</v>
      </c>
      <c r="AZ16" s="37" t="str">
        <f t="shared" si="7"/>
        <v/>
      </c>
      <c r="BA16" s="4" t="s">
        <v>6</v>
      </c>
      <c r="BB16" s="4" t="s">
        <v>22</v>
      </c>
      <c r="BC16" s="4">
        <v>8</v>
      </c>
      <c r="BD16" s="5" t="s">
        <v>23</v>
      </c>
      <c r="BE16" s="4">
        <f>(0.001)^2*2.2046*1000</f>
        <v>2.2046000000000001E-3</v>
      </c>
      <c r="BF16" s="5" t="s">
        <v>87</v>
      </c>
      <c r="BG16" s="5" t="s">
        <v>24</v>
      </c>
      <c r="BH16" s="4">
        <f t="shared" si="8"/>
        <v>1E-3</v>
      </c>
      <c r="BI16" s="5">
        <f t="shared" si="9"/>
        <v>2.2046E-6</v>
      </c>
      <c r="BJ16" s="318"/>
    </row>
    <row r="17" spans="1:62" ht="13.5" x14ac:dyDescent="0.25">
      <c r="A17" s="318"/>
      <c r="B17" s="11"/>
      <c r="C17" s="11"/>
      <c r="D17" s="11"/>
      <c r="E17" s="41"/>
      <c r="F17" s="48"/>
      <c r="G17" s="49"/>
      <c r="H17" s="11"/>
      <c r="I17" s="4" t="str">
        <f t="shared" si="10"/>
        <v/>
      </c>
      <c r="J17" s="45"/>
      <c r="K17" s="45"/>
      <c r="L17" s="45"/>
      <c r="M17" s="45"/>
      <c r="N17" s="45"/>
      <c r="O17" s="45"/>
      <c r="P17" s="45"/>
      <c r="Q17" s="45"/>
      <c r="R17" s="45"/>
      <c r="S17" s="45"/>
      <c r="T17" s="45"/>
      <c r="U17" s="36">
        <f>SUMPRODUCT(J17:T17,J20:T20)</f>
        <v>0</v>
      </c>
      <c r="V17" s="37" t="str">
        <f t="shared" si="11"/>
        <v/>
      </c>
      <c r="W17" s="38"/>
      <c r="X17" s="4" t="str">
        <f t="shared" si="12"/>
        <v/>
      </c>
      <c r="Y17" s="45"/>
      <c r="Z17" s="45"/>
      <c r="AA17" s="45"/>
      <c r="AB17" s="45"/>
      <c r="AC17" s="45"/>
      <c r="AD17" s="45"/>
      <c r="AE17" s="45"/>
      <c r="AF17" s="45"/>
      <c r="AG17" s="45"/>
      <c r="AH17" s="45"/>
      <c r="AI17" s="45"/>
      <c r="AJ17" s="36">
        <f>SUMPRODUCT(Y17:AI17,Y20:AI20)</f>
        <v>0</v>
      </c>
      <c r="AK17" s="37" t="str">
        <f t="shared" si="1"/>
        <v/>
      </c>
      <c r="AL17" s="39"/>
      <c r="AM17" s="4">
        <f t="shared" si="2"/>
        <v>0</v>
      </c>
      <c r="AN17" s="40">
        <f t="shared" si="3"/>
        <v>0</v>
      </c>
      <c r="AO17" s="40">
        <f t="shared" si="4"/>
        <v>0</v>
      </c>
      <c r="AP17" s="40">
        <f t="shared" si="5"/>
        <v>0</v>
      </c>
      <c r="AQ17" s="40">
        <f t="shared" si="6"/>
        <v>0</v>
      </c>
      <c r="AR17" s="40">
        <f t="shared" si="0"/>
        <v>0</v>
      </c>
      <c r="AS17" s="40">
        <f t="shared" si="0"/>
        <v>0</v>
      </c>
      <c r="AT17" s="40">
        <f t="shared" si="0"/>
        <v>0</v>
      </c>
      <c r="AU17" s="40">
        <f t="shared" si="0"/>
        <v>0</v>
      </c>
      <c r="AV17" s="40">
        <f t="shared" si="0"/>
        <v>0</v>
      </c>
      <c r="AW17" s="40">
        <f t="shared" si="0"/>
        <v>0</v>
      </c>
      <c r="AX17" s="40">
        <f t="shared" si="0"/>
        <v>0</v>
      </c>
      <c r="AY17" s="36">
        <f>SUMPRODUCT(AN17:AX17,AN20:AX20)</f>
        <v>0</v>
      </c>
      <c r="AZ17" s="37" t="str">
        <f t="shared" si="7"/>
        <v/>
      </c>
      <c r="BA17" s="4" t="s">
        <v>6</v>
      </c>
      <c r="BB17" s="4" t="s">
        <v>25</v>
      </c>
      <c r="BC17" s="4">
        <v>9</v>
      </c>
      <c r="BD17" s="5" t="s">
        <v>26</v>
      </c>
      <c r="BE17" s="4">
        <f>0.001*2.2046*1000</f>
        <v>2.2046000000000001</v>
      </c>
      <c r="BF17" s="5" t="s">
        <v>86</v>
      </c>
      <c r="BG17" s="5" t="s">
        <v>27</v>
      </c>
      <c r="BH17" s="4">
        <f t="shared" si="8"/>
        <v>1E-3</v>
      </c>
      <c r="BI17" s="5">
        <f t="shared" si="9"/>
        <v>2.2046000000000001E-3</v>
      </c>
      <c r="BJ17" s="318"/>
    </row>
    <row r="18" spans="1:62" ht="13.5" x14ac:dyDescent="0.25">
      <c r="A18" s="318"/>
      <c r="B18" s="11"/>
      <c r="C18" s="11"/>
      <c r="D18" s="11"/>
      <c r="E18" s="47"/>
      <c r="F18" s="54"/>
      <c r="G18" s="55"/>
      <c r="H18" s="11"/>
      <c r="I18" s="4" t="str">
        <f t="shared" si="10"/>
        <v/>
      </c>
      <c r="J18" s="56"/>
      <c r="K18" s="56"/>
      <c r="L18" s="56"/>
      <c r="M18" s="56"/>
      <c r="N18" s="56"/>
      <c r="O18" s="56"/>
      <c r="P18" s="56"/>
      <c r="Q18" s="56"/>
      <c r="R18" s="56"/>
      <c r="S18" s="56"/>
      <c r="T18" s="56"/>
      <c r="U18" s="36">
        <f>SUMPRODUCT(J18:T18,J20:T20)</f>
        <v>0</v>
      </c>
      <c r="V18" s="37" t="str">
        <f>IF($C$13&lt;&gt;1,U18*$G18,IF(U18&lt;&gt;0,U18/$G18,""))</f>
        <v/>
      </c>
      <c r="W18" s="38"/>
      <c r="X18" s="4" t="str">
        <f t="shared" si="12"/>
        <v/>
      </c>
      <c r="Y18" s="45"/>
      <c r="Z18" s="45"/>
      <c r="AA18" s="45"/>
      <c r="AB18" s="45"/>
      <c r="AC18" s="45"/>
      <c r="AD18" s="45"/>
      <c r="AE18" s="45"/>
      <c r="AF18" s="45"/>
      <c r="AG18" s="45"/>
      <c r="AH18" s="45"/>
      <c r="AI18" s="45"/>
      <c r="AJ18" s="36">
        <f>SUMPRODUCT(Y18:AI18,Y20:AI20)</f>
        <v>0</v>
      </c>
      <c r="AK18" s="37" t="str">
        <f t="shared" si="1"/>
        <v/>
      </c>
      <c r="AL18" s="39"/>
      <c r="AM18" s="4">
        <f t="shared" si="2"/>
        <v>0</v>
      </c>
      <c r="AN18" s="57">
        <f t="shared" si="3"/>
        <v>0</v>
      </c>
      <c r="AO18" s="57">
        <f t="shared" si="4"/>
        <v>0</v>
      </c>
      <c r="AP18" s="57">
        <f t="shared" si="5"/>
        <v>0</v>
      </c>
      <c r="AQ18" s="57">
        <f t="shared" si="6"/>
        <v>0</v>
      </c>
      <c r="AR18" s="57">
        <f t="shared" si="0"/>
        <v>0</v>
      </c>
      <c r="AS18" s="57">
        <f t="shared" si="0"/>
        <v>0</v>
      </c>
      <c r="AT18" s="57">
        <f t="shared" si="0"/>
        <v>0</v>
      </c>
      <c r="AU18" s="57">
        <f t="shared" si="0"/>
        <v>0</v>
      </c>
      <c r="AV18" s="57">
        <f t="shared" si="0"/>
        <v>0</v>
      </c>
      <c r="AW18" s="57">
        <f t="shared" si="0"/>
        <v>0</v>
      </c>
      <c r="AX18" s="57">
        <f t="shared" si="0"/>
        <v>0</v>
      </c>
      <c r="AY18" s="36">
        <f>SUMPRODUCT(AN18:AX18,AN20:AX20)</f>
        <v>0</v>
      </c>
      <c r="AZ18" s="37" t="str">
        <f t="shared" si="7"/>
        <v/>
      </c>
      <c r="BA18" s="4" t="s">
        <v>6</v>
      </c>
      <c r="BB18" s="4" t="s">
        <v>28</v>
      </c>
      <c r="BC18" s="4">
        <v>10</v>
      </c>
      <c r="BD18" s="5" t="s">
        <v>29</v>
      </c>
      <c r="BE18" s="4">
        <f>2.2046</f>
        <v>2.2046000000000001</v>
      </c>
      <c r="BF18" s="5" t="s">
        <v>93</v>
      </c>
      <c r="BG18" s="5" t="s">
        <v>30</v>
      </c>
      <c r="BH18" s="4">
        <f t="shared" si="8"/>
        <v>1E-3</v>
      </c>
      <c r="BI18" s="5">
        <f t="shared" si="9"/>
        <v>2.2046000000000001E-3</v>
      </c>
      <c r="BJ18" s="318"/>
    </row>
    <row r="19" spans="1:62" ht="13.5" x14ac:dyDescent="0.25">
      <c r="A19" s="318"/>
      <c r="B19" s="69" t="s">
        <v>75</v>
      </c>
      <c r="C19" s="70"/>
      <c r="D19" s="70"/>
      <c r="E19" s="200" t="str">
        <f>E6</f>
        <v>Exceed XP</v>
      </c>
      <c r="F19" s="58">
        <v>1000</v>
      </c>
      <c r="G19" s="59">
        <v>0.91800000000000004</v>
      </c>
      <c r="H19" s="11"/>
      <c r="I19" s="4"/>
      <c r="J19" s="36"/>
      <c r="K19" s="36"/>
      <c r="L19" s="36"/>
      <c r="M19" s="36"/>
      <c r="N19" s="36"/>
      <c r="O19" s="36"/>
      <c r="P19" s="36"/>
      <c r="Q19" s="36"/>
      <c r="R19" s="36"/>
      <c r="S19" s="36"/>
      <c r="T19" s="36"/>
      <c r="U19" s="60"/>
      <c r="V19" s="61"/>
      <c r="W19" s="38"/>
      <c r="X19" s="36" t="str">
        <f t="shared" ref="X19" si="13">$E19</f>
        <v>Exceed XP</v>
      </c>
      <c r="Y19" s="62"/>
      <c r="Z19" s="62"/>
      <c r="AA19" s="62"/>
      <c r="AB19" s="62"/>
      <c r="AC19" s="62"/>
      <c r="AD19" s="62"/>
      <c r="AE19" s="62"/>
      <c r="AF19" s="62"/>
      <c r="AG19" s="62"/>
      <c r="AH19" s="62"/>
      <c r="AI19" s="62"/>
      <c r="AJ19" s="36">
        <f>SUMPRODUCT(Y19:AI19,Y20:AI20)</f>
        <v>0</v>
      </c>
      <c r="AK19" s="37" t="str">
        <f t="shared" si="1"/>
        <v/>
      </c>
      <c r="AL19" s="39"/>
      <c r="AM19" s="36" t="str">
        <f>E6</f>
        <v>Exceed XP</v>
      </c>
      <c r="AN19" s="36">
        <f t="shared" si="3"/>
        <v>0</v>
      </c>
      <c r="AO19" s="36">
        <f t="shared" si="4"/>
        <v>0</v>
      </c>
      <c r="AP19" s="36">
        <f t="shared" si="5"/>
        <v>0</v>
      </c>
      <c r="AQ19" s="36">
        <f t="shared" si="6"/>
        <v>0</v>
      </c>
      <c r="AR19" s="36">
        <f t="shared" si="0"/>
        <v>0</v>
      </c>
      <c r="AS19" s="36">
        <f t="shared" si="0"/>
        <v>0</v>
      </c>
      <c r="AT19" s="36">
        <f t="shared" si="0"/>
        <v>0</v>
      </c>
      <c r="AU19" s="36">
        <f t="shared" si="0"/>
        <v>0</v>
      </c>
      <c r="AV19" s="36">
        <f t="shared" si="0"/>
        <v>0</v>
      </c>
      <c r="AW19" s="36">
        <f t="shared" si="0"/>
        <v>0</v>
      </c>
      <c r="AX19" s="36">
        <f t="shared" si="0"/>
        <v>0</v>
      </c>
      <c r="AY19" s="36">
        <f>SUMPRODUCT(AN19:AX19,AN20:AX20)</f>
        <v>0</v>
      </c>
      <c r="AZ19" s="37" t="str">
        <f t="shared" si="7"/>
        <v/>
      </c>
      <c r="BA19" s="4" t="s">
        <v>6</v>
      </c>
      <c r="BB19" s="4" t="s">
        <v>31</v>
      </c>
      <c r="BC19" s="4">
        <v>11</v>
      </c>
      <c r="BD19" s="5" t="s">
        <v>23</v>
      </c>
      <c r="BE19" s="4">
        <f>(0.000001)^2*2.2046*1000</f>
        <v>2.2046E-9</v>
      </c>
      <c r="BF19" s="5" t="s">
        <v>87</v>
      </c>
      <c r="BG19" s="5" t="s">
        <v>24</v>
      </c>
      <c r="BH19" s="4">
        <f t="shared" si="8"/>
        <v>1E-3</v>
      </c>
      <c r="BI19" s="5">
        <f t="shared" si="9"/>
        <v>2.2046000000000001E-12</v>
      </c>
      <c r="BJ19" s="318"/>
    </row>
    <row r="20" spans="1:62" ht="13.5" x14ac:dyDescent="0.25">
      <c r="A20" s="318"/>
      <c r="B20" s="11"/>
      <c r="C20" s="11"/>
      <c r="D20" s="11"/>
      <c r="E20" s="11"/>
      <c r="F20" s="11"/>
      <c r="G20" s="11"/>
      <c r="H20" s="11"/>
      <c r="I20" s="63"/>
      <c r="J20" s="64">
        <f>J8/SUM(J8:T8)</f>
        <v>0.2</v>
      </c>
      <c r="K20" s="64">
        <f>K8/SUM(J8:T8)</f>
        <v>0.2</v>
      </c>
      <c r="L20" s="64">
        <f>L8/SUM(J8:T8)</f>
        <v>0.2</v>
      </c>
      <c r="M20" s="64">
        <f>M8/SUM(J8:T8)</f>
        <v>0.2</v>
      </c>
      <c r="N20" s="64">
        <f>N8/SUM(J8:T8)</f>
        <v>0.2</v>
      </c>
      <c r="O20" s="64">
        <f>O8/SUM(J8:T8)</f>
        <v>0</v>
      </c>
      <c r="P20" s="64">
        <f>P8/SUM(J8:T8)</f>
        <v>0</v>
      </c>
      <c r="Q20" s="64">
        <f>Q8/SUM(J8:T8)</f>
        <v>0</v>
      </c>
      <c r="R20" s="64">
        <f>R8/SUM(J8:T8)</f>
        <v>0</v>
      </c>
      <c r="S20" s="64">
        <f>S8/SUM(J8:T8)</f>
        <v>0</v>
      </c>
      <c r="T20" s="64">
        <f>T8/SUM(J8:T8)</f>
        <v>0</v>
      </c>
      <c r="U20" s="65">
        <f>IF(SUM(U9:U19)&lt;&gt;100%,"&lt;&gt; 100% !!",SUM(U9:U19))</f>
        <v>1</v>
      </c>
      <c r="V20" s="66"/>
      <c r="W20" s="38"/>
      <c r="X20" s="63"/>
      <c r="Y20" s="64">
        <f>Y8/SUM(Y8:AI8)</f>
        <v>0.2</v>
      </c>
      <c r="Z20" s="64">
        <f>Z8/SUM(Y8:AI8)</f>
        <v>0.2</v>
      </c>
      <c r="AA20" s="64">
        <f>AA8/SUM(Y8:AI8)</f>
        <v>0.2</v>
      </c>
      <c r="AB20" s="64">
        <f>AB8/SUM(Y8:AI8)</f>
        <v>0.2</v>
      </c>
      <c r="AC20" s="64">
        <f>AC8/SUM(Y8:AI8)</f>
        <v>0.2</v>
      </c>
      <c r="AD20" s="64">
        <f>AD8/SUM(Y8:AI8)</f>
        <v>0</v>
      </c>
      <c r="AE20" s="64">
        <f>AE8/SUM(Y8:AI8)</f>
        <v>0</v>
      </c>
      <c r="AF20" s="64">
        <f>AF8/SUM(Y8:AI8)</f>
        <v>0</v>
      </c>
      <c r="AG20" s="64">
        <f>AG8/SUM(Y8:AI8)</f>
        <v>0</v>
      </c>
      <c r="AH20" s="64">
        <f>AH8/SUM(Y8:AI8)</f>
        <v>0</v>
      </c>
      <c r="AI20" s="64">
        <f>AI8/SUM(Y8:AI8)</f>
        <v>0</v>
      </c>
      <c r="AJ20" s="65">
        <f>IF(SUM(AJ9:AJ19)&lt;&gt;100%,"&lt;&gt; 100% !!",SUM(AJ9:AJ19))</f>
        <v>1</v>
      </c>
      <c r="AK20" s="66"/>
      <c r="AL20" s="66"/>
      <c r="AM20" s="63"/>
      <c r="AN20" s="65">
        <f>AN8/SUM(AN8:AX8)</f>
        <v>0.2</v>
      </c>
      <c r="AO20" s="65">
        <f>AO8/SUM(AN8:AX8)</f>
        <v>0.2</v>
      </c>
      <c r="AP20" s="65">
        <f>AP8/SUM(AN8:AX8)</f>
        <v>0.2</v>
      </c>
      <c r="AQ20" s="65">
        <f>AQ8/SUM($AN8:$AX8)</f>
        <v>0.2</v>
      </c>
      <c r="AR20" s="65">
        <f t="shared" ref="AR20:AX20" si="14">AR8/SUM($AN8:$AX8)</f>
        <v>0.2</v>
      </c>
      <c r="AS20" s="65">
        <f t="shared" si="14"/>
        <v>0</v>
      </c>
      <c r="AT20" s="65">
        <f t="shared" si="14"/>
        <v>0</v>
      </c>
      <c r="AU20" s="65">
        <f t="shared" si="14"/>
        <v>0</v>
      </c>
      <c r="AV20" s="65">
        <f t="shared" si="14"/>
        <v>0</v>
      </c>
      <c r="AW20" s="65">
        <f t="shared" si="14"/>
        <v>0</v>
      </c>
      <c r="AX20" s="65">
        <f t="shared" si="14"/>
        <v>0</v>
      </c>
      <c r="AY20" s="67">
        <f>IF(SUM(AY9:AY19)&lt;&gt;100%,"&lt;&gt; 100% !!",SUM(AY9:AY19))</f>
        <v>1</v>
      </c>
      <c r="AZ20" s="24"/>
      <c r="BA20" s="4" t="s">
        <v>6</v>
      </c>
      <c r="BB20" s="4" t="s">
        <v>32</v>
      </c>
      <c r="BC20" s="4">
        <v>12</v>
      </c>
      <c r="BD20" s="5" t="s">
        <v>26</v>
      </c>
      <c r="BE20" s="4">
        <f>0.000001*2.2046*1000</f>
        <v>2.2046000000000001E-3</v>
      </c>
      <c r="BF20" s="5" t="s">
        <v>86</v>
      </c>
      <c r="BG20" s="5" t="s">
        <v>27</v>
      </c>
      <c r="BH20" s="4">
        <f t="shared" si="8"/>
        <v>1E-3</v>
      </c>
      <c r="BI20" s="5">
        <f t="shared" si="9"/>
        <v>2.2046E-6</v>
      </c>
      <c r="BJ20" s="318"/>
    </row>
    <row r="21" spans="1:62" ht="3" customHeight="1" x14ac:dyDescent="0.25">
      <c r="A21" s="318"/>
      <c r="B21" s="11"/>
      <c r="C21" s="11"/>
      <c r="D21" s="11"/>
      <c r="E21" s="11"/>
      <c r="F21" s="11"/>
      <c r="G21" s="11"/>
      <c r="H21" s="11"/>
      <c r="I21" s="52"/>
      <c r="J21" s="52"/>
      <c r="K21" s="52"/>
      <c r="L21" s="52"/>
      <c r="M21" s="52"/>
      <c r="N21" s="52"/>
      <c r="O21" s="52"/>
      <c r="P21" s="52"/>
      <c r="Q21" s="52"/>
      <c r="R21" s="52"/>
      <c r="S21" s="52"/>
      <c r="T21" s="52"/>
      <c r="U21" s="68"/>
      <c r="V21" s="66"/>
      <c r="W21" s="38"/>
      <c r="X21" s="52"/>
      <c r="Y21" s="52"/>
      <c r="Z21" s="52"/>
      <c r="AA21" s="52"/>
      <c r="AB21" s="52"/>
      <c r="AC21" s="52"/>
      <c r="AD21" s="52"/>
      <c r="AE21" s="52"/>
      <c r="AF21" s="52"/>
      <c r="AG21" s="52"/>
      <c r="AH21" s="52"/>
      <c r="AI21" s="52"/>
      <c r="AJ21" s="68"/>
      <c r="AK21" s="66"/>
      <c r="AL21" s="66"/>
      <c r="AM21" s="28"/>
      <c r="AN21" s="28"/>
      <c r="AO21" s="28"/>
      <c r="AP21" s="28"/>
      <c r="AQ21" s="28"/>
      <c r="AR21" s="28"/>
      <c r="AS21" s="28"/>
      <c r="AT21" s="28"/>
      <c r="AU21" s="28"/>
      <c r="AV21" s="28"/>
      <c r="AW21" s="28"/>
      <c r="AX21" s="28"/>
      <c r="AY21" s="66"/>
      <c r="AZ21" s="24"/>
      <c r="BA21" s="4" t="s">
        <v>33</v>
      </c>
      <c r="BB21" s="4" t="s">
        <v>7</v>
      </c>
      <c r="BC21" s="4">
        <v>13</v>
      </c>
      <c r="BD21" s="5" t="s">
        <v>8</v>
      </c>
      <c r="BE21" s="5"/>
      <c r="BF21" s="5" t="s">
        <v>8</v>
      </c>
      <c r="BG21" s="5" t="s">
        <v>8</v>
      </c>
      <c r="BH21" s="4">
        <f t="shared" si="8"/>
        <v>1E-3</v>
      </c>
      <c r="BI21" s="5">
        <f t="shared" si="9"/>
        <v>0</v>
      </c>
      <c r="BJ21" s="318"/>
    </row>
    <row r="22" spans="1:62" ht="13.5" x14ac:dyDescent="0.25">
      <c r="A22" s="318"/>
      <c r="B22" s="69" t="str">
        <f>IF(COUNT(B23:F26)&gt;1,"!! MORE THAN 1 UNIT SELECTED !!",IF(COUNT(B23:F26)=0,"!! NO UNIT SELECTED !!","THICKNESS, SECTION or VOLUME UNIT"))</f>
        <v>THICKNESS, SECTION or VOLUME UNIT</v>
      </c>
      <c r="C22" s="69"/>
      <c r="D22" s="69"/>
      <c r="E22" s="69"/>
      <c r="F22" s="69"/>
      <c r="G22" s="69"/>
      <c r="H22" s="11"/>
      <c r="I22" s="5" t="str">
        <f>CONCATENATE(I5," CONVERTER BUSINESS SIZE")</f>
        <v>REFERENCE CONVERTER BUSINESS SIZE</v>
      </c>
      <c r="J22" s="70"/>
      <c r="K22" s="70"/>
      <c r="L22" s="70"/>
      <c r="M22" s="71">
        <v>1</v>
      </c>
      <c r="N22" s="6" t="str">
        <f>VLOOKUP(1,J28:L30,2)</f>
        <v>KT</v>
      </c>
      <c r="O22" s="52"/>
      <c r="P22" s="52"/>
      <c r="Q22" s="52"/>
      <c r="R22" s="52"/>
      <c r="S22" s="52"/>
      <c r="T22" s="52"/>
      <c r="U22" s="68"/>
      <c r="V22" s="28"/>
      <c r="W22" s="23"/>
      <c r="X22" s="215" t="s">
        <v>58</v>
      </c>
      <c r="Y22" s="72"/>
      <c r="Z22" s="72"/>
      <c r="AA22" s="72"/>
      <c r="AB22" s="73">
        <v>1</v>
      </c>
      <c r="AC22" s="6"/>
      <c r="AD22" s="52"/>
      <c r="AE22" s="52"/>
      <c r="AF22" s="52"/>
      <c r="AG22" s="52"/>
      <c r="AH22" s="52"/>
      <c r="AI22" s="52"/>
      <c r="AJ22" s="68"/>
      <c r="AK22" s="7"/>
      <c r="AL22" s="7"/>
      <c r="AM22" s="74"/>
      <c r="AN22" s="75"/>
      <c r="AO22" s="75"/>
      <c r="AP22" s="75"/>
      <c r="AQ22" s="75"/>
      <c r="AR22" s="75"/>
      <c r="AS22" s="75"/>
      <c r="AT22" s="75"/>
      <c r="AU22" s="75"/>
      <c r="AV22" s="75"/>
      <c r="AW22" s="75"/>
      <c r="AX22" s="24"/>
      <c r="AY22" s="7"/>
      <c r="AZ22" s="24"/>
      <c r="BA22" s="4" t="s">
        <v>33</v>
      </c>
      <c r="BB22" s="4" t="s">
        <v>10</v>
      </c>
      <c r="BC22" s="4">
        <v>14</v>
      </c>
      <c r="BD22" s="5" t="s">
        <v>34</v>
      </c>
      <c r="BE22" s="4">
        <f>(25.4*0.001)^2*(0.3048)*1000</f>
        <v>0.19664476800000003</v>
      </c>
      <c r="BF22" s="5" t="s">
        <v>85</v>
      </c>
      <c r="BG22" s="5" t="s">
        <v>12</v>
      </c>
      <c r="BH22" s="4">
        <f t="shared" si="8"/>
        <v>1E-3</v>
      </c>
      <c r="BI22" s="5">
        <f t="shared" si="9"/>
        <v>1.9664476800000002E-4</v>
      </c>
      <c r="BJ22" s="318"/>
    </row>
    <row r="23" spans="1:62" ht="13.5" x14ac:dyDescent="0.25">
      <c r="A23" s="318"/>
      <c r="B23" s="30">
        <v>1</v>
      </c>
      <c r="C23" s="4" t="s">
        <v>37</v>
      </c>
      <c r="D23" s="30"/>
      <c r="E23" s="4" t="s">
        <v>38</v>
      </c>
      <c r="F23" s="76"/>
      <c r="G23" s="4" t="s">
        <v>39</v>
      </c>
      <c r="H23" s="11"/>
      <c r="I23" s="5"/>
      <c r="J23" s="6"/>
      <c r="K23" s="6"/>
      <c r="L23" s="6"/>
      <c r="M23" s="6"/>
      <c r="N23" s="6"/>
      <c r="O23" s="52"/>
      <c r="P23" s="52"/>
      <c r="Q23" s="52"/>
      <c r="R23" s="52"/>
      <c r="S23" s="52"/>
      <c r="T23" s="52"/>
      <c r="U23" s="68"/>
      <c r="V23" s="24"/>
      <c r="W23" s="23"/>
      <c r="X23" s="215" t="str">
        <f>CONCATENATE(X5," BUSINESS SIZE")</f>
        <v>ALTERNATIVE BUSINESS SIZE</v>
      </c>
      <c r="Y23" s="77"/>
      <c r="Z23" s="77"/>
      <c r="AA23" s="77"/>
      <c r="AB23" s="78">
        <f>ROUND(M22*AB22,2)</f>
        <v>1</v>
      </c>
      <c r="AC23" s="79" t="str">
        <f>VLOOKUP(1,J28:L30,2)</f>
        <v>KT</v>
      </c>
      <c r="AD23" s="52"/>
      <c r="AE23" s="52"/>
      <c r="AF23" s="52"/>
      <c r="AG23" s="52"/>
      <c r="AH23" s="52"/>
      <c r="AI23" s="52"/>
      <c r="AJ23" s="68"/>
      <c r="AK23" s="7"/>
      <c r="AL23" s="7"/>
      <c r="AM23" s="80"/>
      <c r="AN23" s="198"/>
      <c r="AO23" s="198"/>
      <c r="AP23" s="198"/>
      <c r="AQ23" s="198"/>
      <c r="AR23" s="299"/>
      <c r="AS23" s="299"/>
      <c r="AT23" s="299"/>
      <c r="AU23" s="299"/>
      <c r="AV23" s="299"/>
      <c r="AW23" s="299"/>
      <c r="AX23" s="81"/>
      <c r="AY23" s="82"/>
      <c r="AZ23" s="24"/>
      <c r="BA23" s="4" t="s">
        <v>33</v>
      </c>
      <c r="BB23" s="4" t="s">
        <v>13</v>
      </c>
      <c r="BC23" s="4">
        <v>15</v>
      </c>
      <c r="BD23" s="5" t="s">
        <v>35</v>
      </c>
      <c r="BE23" s="4">
        <f>(25.4*0.001)*(0.3048)^2*1000</f>
        <v>2.3597372160000001</v>
      </c>
      <c r="BF23" s="5" t="s">
        <v>84</v>
      </c>
      <c r="BG23" s="5" t="s">
        <v>15</v>
      </c>
      <c r="BH23" s="4">
        <f t="shared" si="8"/>
        <v>1E-3</v>
      </c>
      <c r="BI23" s="5">
        <f t="shared" si="9"/>
        <v>2.3597372160000002E-3</v>
      </c>
      <c r="BJ23" s="318"/>
    </row>
    <row r="24" spans="1:62" ht="13.5" x14ac:dyDescent="0.25">
      <c r="A24" s="318"/>
      <c r="B24" s="41"/>
      <c r="C24" s="4" t="s">
        <v>40</v>
      </c>
      <c r="D24" s="41"/>
      <c r="E24" s="4" t="s">
        <v>41</v>
      </c>
      <c r="F24" s="4"/>
      <c r="G24" s="4"/>
      <c r="H24" s="11"/>
      <c r="I24" s="5" t="str">
        <f>CONCATENATE(I5," CONVERTER SALES PRICE")</f>
        <v>REFERENCE CONVERTER SALES PRICE</v>
      </c>
      <c r="J24" s="70"/>
      <c r="K24" s="70"/>
      <c r="L24" s="70"/>
      <c r="M24" s="58">
        <v>1500</v>
      </c>
      <c r="N24" s="6" t="str">
        <f>N27</f>
        <v>USD/TON</v>
      </c>
      <c r="O24" s="52"/>
      <c r="P24" s="52"/>
      <c r="Q24" s="52"/>
      <c r="R24" s="52"/>
      <c r="S24" s="52"/>
      <c r="T24" s="52"/>
      <c r="U24" s="68"/>
      <c r="V24" s="7"/>
      <c r="W24" s="11"/>
      <c r="X24" s="5" t="s">
        <v>67</v>
      </c>
      <c r="Y24" s="72"/>
      <c r="Z24" s="72"/>
      <c r="AA24" s="72"/>
      <c r="AB24" s="71">
        <v>2000</v>
      </c>
      <c r="AC24" s="6" t="str">
        <f>N27</f>
        <v>USD/TON</v>
      </c>
      <c r="AD24" s="52"/>
      <c r="AE24" s="52"/>
      <c r="AF24" s="52"/>
      <c r="AG24" s="52"/>
      <c r="AH24" s="52"/>
      <c r="AI24" s="52"/>
      <c r="AJ24" s="68"/>
      <c r="AK24" s="28"/>
      <c r="AL24" s="28"/>
      <c r="AM24" s="15"/>
      <c r="AN24" s="75"/>
      <c r="AO24" s="75"/>
      <c r="AP24" s="75"/>
      <c r="AQ24" s="75"/>
      <c r="AR24" s="75"/>
      <c r="AS24" s="75"/>
      <c r="AT24" s="75"/>
      <c r="AU24" s="75"/>
      <c r="AV24" s="75"/>
      <c r="AW24" s="75"/>
      <c r="AX24" s="81"/>
      <c r="AY24" s="7"/>
      <c r="AZ24" s="24"/>
      <c r="BA24" s="4" t="s">
        <v>33</v>
      </c>
      <c r="BB24" s="4" t="s">
        <v>16</v>
      </c>
      <c r="BC24" s="4">
        <v>16</v>
      </c>
      <c r="BD24" s="5" t="s">
        <v>36</v>
      </c>
      <c r="BE24" s="4">
        <v>3.7854000000000001</v>
      </c>
      <c r="BF24" s="5" t="s">
        <v>94</v>
      </c>
      <c r="BG24" s="5" t="s">
        <v>16</v>
      </c>
      <c r="BH24" s="4">
        <f t="shared" si="8"/>
        <v>1E-3</v>
      </c>
      <c r="BI24" s="5">
        <f t="shared" si="9"/>
        <v>3.7854E-3</v>
      </c>
      <c r="BJ24" s="318"/>
    </row>
    <row r="25" spans="1:62" ht="13.5" x14ac:dyDescent="0.25">
      <c r="A25" s="318"/>
      <c r="B25" s="30"/>
      <c r="C25" s="4" t="s">
        <v>21</v>
      </c>
      <c r="D25" s="30"/>
      <c r="E25" s="4" t="s">
        <v>20</v>
      </c>
      <c r="F25" s="76"/>
      <c r="G25" s="4" t="s">
        <v>43</v>
      </c>
      <c r="H25" s="11"/>
      <c r="I25" s="5" t="s">
        <v>91</v>
      </c>
      <c r="J25" s="70"/>
      <c r="K25" s="70"/>
      <c r="L25" s="70"/>
      <c r="M25" s="36">
        <f>M24/Z44</f>
        <v>1.5</v>
      </c>
      <c r="N25" s="6"/>
      <c r="O25" s="52"/>
      <c r="P25" s="52"/>
      <c r="Q25" s="52"/>
      <c r="R25" s="52"/>
      <c r="S25" s="52"/>
      <c r="T25" s="52"/>
      <c r="U25" s="68"/>
      <c r="V25" s="84"/>
      <c r="W25" s="51"/>
      <c r="X25" s="5" t="s">
        <v>91</v>
      </c>
      <c r="Y25" s="70"/>
      <c r="Z25" s="70"/>
      <c r="AA25" s="70"/>
      <c r="AB25" s="36">
        <f>AB24/AB44</f>
        <v>2</v>
      </c>
      <c r="AC25" s="6"/>
      <c r="AD25" s="52"/>
      <c r="AE25" s="52"/>
      <c r="AF25" s="52"/>
      <c r="AG25" s="52"/>
      <c r="AH25" s="52"/>
      <c r="AI25" s="52"/>
      <c r="AJ25" s="68"/>
      <c r="AK25" s="7"/>
      <c r="AL25" s="7"/>
      <c r="AM25" s="84"/>
      <c r="AN25" s="7"/>
      <c r="AO25" s="7"/>
      <c r="AP25" s="7"/>
      <c r="AQ25" s="7"/>
      <c r="AR25" s="7"/>
      <c r="AS25" s="7"/>
      <c r="AT25" s="7"/>
      <c r="AU25" s="7"/>
      <c r="AV25" s="7"/>
      <c r="AW25" s="7"/>
      <c r="AX25" s="24"/>
      <c r="AY25" s="7"/>
      <c r="AZ25" s="7"/>
      <c r="BA25" s="4" t="s">
        <v>33</v>
      </c>
      <c r="BB25" s="4" t="s">
        <v>20</v>
      </c>
      <c r="BC25" s="4">
        <v>17</v>
      </c>
      <c r="BD25" s="5" t="s">
        <v>34</v>
      </c>
      <c r="BE25" s="4">
        <f>(25.4*0.000001)^2*(0.3048)*1000</f>
        <v>1.9664476799999998E-7</v>
      </c>
      <c r="BF25" s="5" t="s">
        <v>85</v>
      </c>
      <c r="BG25" s="5" t="s">
        <v>12</v>
      </c>
      <c r="BH25" s="4">
        <f t="shared" si="8"/>
        <v>1E-3</v>
      </c>
      <c r="BI25" s="5">
        <f t="shared" si="9"/>
        <v>1.9664476799999999E-10</v>
      </c>
      <c r="BJ25" s="318"/>
    </row>
    <row r="26" spans="1:62" ht="13.5" x14ac:dyDescent="0.25">
      <c r="A26" s="318"/>
      <c r="B26" s="47"/>
      <c r="C26" s="4" t="s">
        <v>45</v>
      </c>
      <c r="D26" s="47"/>
      <c r="E26" s="4" t="s">
        <v>46</v>
      </c>
      <c r="F26" s="4"/>
      <c r="G26" s="4"/>
      <c r="H26" s="11"/>
      <c r="I26" s="5" t="s">
        <v>54</v>
      </c>
      <c r="J26" s="70"/>
      <c r="K26" s="70"/>
      <c r="L26" s="70"/>
      <c r="M26" s="85">
        <v>100</v>
      </c>
      <c r="N26" s="6" t="s">
        <v>53</v>
      </c>
      <c r="O26" s="52"/>
      <c r="P26" s="52"/>
      <c r="Q26" s="52"/>
      <c r="R26" s="52"/>
      <c r="S26" s="52"/>
      <c r="T26" s="52"/>
      <c r="U26" s="68"/>
      <c r="V26" s="7"/>
      <c r="W26" s="11"/>
      <c r="X26" s="5" t="str">
        <f>CONCATENATE(BC6,"  REDUCTION vs. ",I5)</f>
        <v>THICKNESS  REDUCTION vs. REFERENCE</v>
      </c>
      <c r="Y26" s="70"/>
      <c r="Z26" s="70"/>
      <c r="AA26" s="70"/>
      <c r="AB26" s="36">
        <f>($U6-AJ6)/$U6</f>
        <v>0.2</v>
      </c>
      <c r="AC26" s="6"/>
      <c r="AD26" s="52"/>
      <c r="AE26" s="52"/>
      <c r="AF26" s="52"/>
      <c r="AG26" s="52"/>
      <c r="AH26" s="52"/>
      <c r="AI26" s="52"/>
      <c r="AJ26" s="68"/>
      <c r="AK26" s="84"/>
      <c r="AL26" s="84"/>
      <c r="AM26" s="15"/>
      <c r="AN26" s="86"/>
      <c r="AO26" s="86"/>
      <c r="AP26" s="86"/>
      <c r="AQ26" s="86"/>
      <c r="AR26" s="86"/>
      <c r="AS26" s="86"/>
      <c r="AT26" s="86"/>
      <c r="AU26" s="86"/>
      <c r="AV26" s="86"/>
      <c r="AW26" s="86"/>
      <c r="AX26" s="24"/>
      <c r="AY26" s="7"/>
      <c r="AZ26" s="7"/>
      <c r="BA26" s="4" t="s">
        <v>33</v>
      </c>
      <c r="BB26" s="4" t="s">
        <v>21</v>
      </c>
      <c r="BC26" s="4">
        <v>18</v>
      </c>
      <c r="BD26" s="5" t="s">
        <v>35</v>
      </c>
      <c r="BE26" s="190">
        <f>(25.4*0.000001)*(0.3048)^2*1000</f>
        <v>2.3597372159999998E-3</v>
      </c>
      <c r="BF26" s="5" t="s">
        <v>84</v>
      </c>
      <c r="BG26" s="5" t="s">
        <v>15</v>
      </c>
      <c r="BH26" s="4">
        <f t="shared" si="8"/>
        <v>1E-3</v>
      </c>
      <c r="BI26" s="5">
        <f t="shared" si="9"/>
        <v>2.3597372159999999E-6</v>
      </c>
      <c r="BJ26" s="318"/>
    </row>
    <row r="27" spans="1:62" ht="13.5" x14ac:dyDescent="0.25">
      <c r="A27" s="318"/>
      <c r="B27" s="11"/>
      <c r="C27" s="11"/>
      <c r="D27" s="11"/>
      <c r="E27" s="11"/>
      <c r="F27" s="11"/>
      <c r="G27" s="11"/>
      <c r="H27" s="11"/>
      <c r="I27" s="5" t="str">
        <f>CONCATENATE(I5," LOGISTICS COSTS")</f>
        <v>REFERENCE LOGISTICS COSTS</v>
      </c>
      <c r="J27" s="70"/>
      <c r="K27" s="70"/>
      <c r="L27" s="70"/>
      <c r="M27" s="54">
        <v>50</v>
      </c>
      <c r="N27" s="6" t="str">
        <f>F8</f>
        <v>USD/TON</v>
      </c>
      <c r="O27" s="52"/>
      <c r="P27" s="52"/>
      <c r="Q27" s="52"/>
      <c r="R27" s="52"/>
      <c r="S27" s="52"/>
      <c r="T27" s="52"/>
      <c r="U27" s="68"/>
      <c r="V27" s="7"/>
      <c r="W27" s="11"/>
      <c r="X27" s="5" t="str">
        <f>CONCATENATE("PERFORMANCE vs. ",I5)</f>
        <v>PERFORMANCE vs. REFERENCE</v>
      </c>
      <c r="Y27" s="70"/>
      <c r="Z27" s="70"/>
      <c r="AA27" s="70"/>
      <c r="AB27" s="73">
        <v>1</v>
      </c>
      <c r="AC27" s="6"/>
      <c r="AD27" s="52"/>
      <c r="AE27" s="52"/>
      <c r="AF27" s="52"/>
      <c r="AG27" s="52"/>
      <c r="AH27" s="52"/>
      <c r="AI27" s="52"/>
      <c r="AJ27" s="68"/>
      <c r="AK27" s="7"/>
      <c r="AL27" s="7"/>
      <c r="AM27" s="197"/>
      <c r="AN27" s="197"/>
      <c r="AO27" s="197"/>
      <c r="AP27" s="197"/>
      <c r="AQ27" s="197"/>
      <c r="AR27" s="298"/>
      <c r="AS27" s="298"/>
      <c r="AT27" s="298"/>
      <c r="AU27" s="298"/>
      <c r="AV27" s="298"/>
      <c r="AW27" s="298"/>
      <c r="AX27" s="197"/>
      <c r="AY27" s="197"/>
      <c r="AZ27" s="7"/>
      <c r="BA27" s="4" t="s">
        <v>33</v>
      </c>
      <c r="BB27" s="4" t="s">
        <v>7</v>
      </c>
      <c r="BC27" s="4">
        <v>19</v>
      </c>
      <c r="BD27" s="4" t="s">
        <v>8</v>
      </c>
      <c r="BE27" s="5"/>
      <c r="BF27" s="4" t="s">
        <v>8</v>
      </c>
      <c r="BG27" s="4" t="s">
        <v>8</v>
      </c>
      <c r="BH27" s="4">
        <f t="shared" si="8"/>
        <v>1E-3</v>
      </c>
      <c r="BI27" s="5">
        <f t="shared" si="9"/>
        <v>0</v>
      </c>
      <c r="BJ27" s="318"/>
    </row>
    <row r="28" spans="1:62" ht="13.5" hidden="1" x14ac:dyDescent="0.25">
      <c r="A28" s="318"/>
      <c r="B28" s="7"/>
      <c r="C28" s="7"/>
      <c r="D28" s="7"/>
      <c r="E28" s="7"/>
      <c r="F28" s="7"/>
      <c r="G28" s="7"/>
      <c r="H28" s="7"/>
      <c r="I28" s="87"/>
      <c r="J28" s="88" t="str">
        <f>IF(B9="","",B9)</f>
        <v/>
      </c>
      <c r="K28" s="88" t="s">
        <v>51</v>
      </c>
      <c r="L28" s="88">
        <v>1</v>
      </c>
      <c r="M28" s="88" t="str">
        <f>CONCATENATE("M",B6)</f>
        <v>MUSD</v>
      </c>
      <c r="N28" s="88"/>
      <c r="O28" s="52"/>
      <c r="P28" s="52"/>
      <c r="Q28" s="52"/>
      <c r="R28" s="52"/>
      <c r="S28" s="52"/>
      <c r="T28" s="52"/>
      <c r="U28" s="68"/>
      <c r="V28" s="84"/>
      <c r="W28" s="84"/>
      <c r="X28" s="24"/>
      <c r="Y28" s="24"/>
      <c r="Z28" s="24"/>
      <c r="AA28" s="24"/>
      <c r="AB28" s="24"/>
      <c r="AC28" s="24"/>
      <c r="AD28" s="52"/>
      <c r="AE28" s="52"/>
      <c r="AF28" s="52"/>
      <c r="AG28" s="52"/>
      <c r="AH28" s="52"/>
      <c r="AI28" s="52"/>
      <c r="AJ28" s="68"/>
      <c r="AK28" s="24"/>
      <c r="AL28" s="24"/>
      <c r="AM28" s="7"/>
      <c r="AN28" s="7"/>
      <c r="AO28" s="7"/>
      <c r="AP28" s="7"/>
      <c r="AQ28" s="7"/>
      <c r="AR28" s="7"/>
      <c r="AS28" s="7"/>
      <c r="AT28" s="7"/>
      <c r="AU28" s="7"/>
      <c r="AV28" s="7"/>
      <c r="AW28" s="7"/>
      <c r="AX28" s="7"/>
      <c r="AY28" s="7"/>
      <c r="AZ28" s="7"/>
      <c r="BA28" s="4" t="s">
        <v>33</v>
      </c>
      <c r="BB28" s="4" t="s">
        <v>22</v>
      </c>
      <c r="BC28" s="4">
        <v>20</v>
      </c>
      <c r="BD28" s="5" t="s">
        <v>42</v>
      </c>
      <c r="BE28" s="189">
        <f>(0.001)^2*1000</f>
        <v>1E-3</v>
      </c>
      <c r="BF28" s="5" t="s">
        <v>90</v>
      </c>
      <c r="BG28" s="5" t="s">
        <v>24</v>
      </c>
      <c r="BH28" s="4">
        <f t="shared" si="8"/>
        <v>1E-3</v>
      </c>
      <c r="BI28" s="5">
        <f t="shared" si="9"/>
        <v>9.9999999999999995E-7</v>
      </c>
      <c r="BJ28" s="318"/>
    </row>
    <row r="29" spans="1:62" ht="13.5" hidden="1" x14ac:dyDescent="0.25">
      <c r="A29" s="318"/>
      <c r="B29" s="7"/>
      <c r="C29" s="7"/>
      <c r="D29" s="7"/>
      <c r="E29" s="7"/>
      <c r="F29" s="7"/>
      <c r="G29" s="7"/>
      <c r="H29" s="7"/>
      <c r="I29" s="87"/>
      <c r="J29" s="88">
        <f>IF(B10="","",B10)</f>
        <v>1</v>
      </c>
      <c r="K29" s="88" t="s">
        <v>51</v>
      </c>
      <c r="L29" s="88">
        <v>1000</v>
      </c>
      <c r="M29" s="88" t="str">
        <f>CONCATENATE("M",B6)</f>
        <v>MUSD</v>
      </c>
      <c r="N29" s="88"/>
      <c r="O29" s="52"/>
      <c r="P29" s="52"/>
      <c r="Q29" s="52"/>
      <c r="R29" s="52"/>
      <c r="S29" s="52"/>
      <c r="T29" s="52"/>
      <c r="U29" s="68"/>
      <c r="V29" s="7"/>
      <c r="W29" s="7"/>
      <c r="X29" s="89"/>
      <c r="Y29" s="89"/>
      <c r="Z29" s="89"/>
      <c r="AA29" s="89"/>
      <c r="AB29" s="89"/>
      <c r="AC29" s="89"/>
      <c r="AD29" s="52"/>
      <c r="AE29" s="52"/>
      <c r="AF29" s="52"/>
      <c r="AG29" s="52"/>
      <c r="AH29" s="52"/>
      <c r="AI29" s="52"/>
      <c r="AJ29" s="68"/>
      <c r="AK29" s="7"/>
      <c r="AL29" s="7"/>
      <c r="AM29" s="86"/>
      <c r="AN29" s="86"/>
      <c r="AO29" s="86"/>
      <c r="AP29" s="86"/>
      <c r="AQ29" s="86"/>
      <c r="AR29" s="86"/>
      <c r="AS29" s="86"/>
      <c r="AT29" s="86"/>
      <c r="AU29" s="86"/>
      <c r="AV29" s="86"/>
      <c r="AW29" s="86"/>
      <c r="AX29" s="86"/>
      <c r="AY29" s="24"/>
      <c r="AZ29" s="7"/>
      <c r="BA29" s="4" t="s">
        <v>33</v>
      </c>
      <c r="BB29" s="4" t="s">
        <v>25</v>
      </c>
      <c r="BC29" s="4">
        <v>21</v>
      </c>
      <c r="BD29" s="5" t="s">
        <v>44</v>
      </c>
      <c r="BE29" s="189">
        <f>(0.001)*1000</f>
        <v>1</v>
      </c>
      <c r="BF29" s="5" t="s">
        <v>83</v>
      </c>
      <c r="BG29" s="5" t="s">
        <v>27</v>
      </c>
      <c r="BH29" s="4">
        <f t="shared" si="8"/>
        <v>1E-3</v>
      </c>
      <c r="BI29" s="5">
        <f t="shared" si="9"/>
        <v>1E-3</v>
      </c>
      <c r="BJ29" s="318"/>
    </row>
    <row r="30" spans="1:62" ht="13.5" hidden="1" x14ac:dyDescent="0.25">
      <c r="A30" s="318"/>
      <c r="B30" s="7"/>
      <c r="C30" s="7"/>
      <c r="D30" s="7"/>
      <c r="E30" s="7"/>
      <c r="F30" s="7"/>
      <c r="G30" s="7"/>
      <c r="H30" s="7"/>
      <c r="I30" s="87"/>
      <c r="J30" s="88" t="str">
        <f>IF(B11="","",B11)</f>
        <v/>
      </c>
      <c r="K30" s="88" t="s">
        <v>52</v>
      </c>
      <c r="L30" s="88">
        <v>1</v>
      </c>
      <c r="M30" s="88" t="str">
        <f>CONCATENATE("M",B6)</f>
        <v>MUSD</v>
      </c>
      <c r="N30" s="88"/>
      <c r="O30" s="52"/>
      <c r="P30" s="52"/>
      <c r="Q30" s="52"/>
      <c r="R30" s="52"/>
      <c r="S30" s="52"/>
      <c r="T30" s="52"/>
      <c r="U30" s="68"/>
      <c r="V30" s="89"/>
      <c r="W30" s="90"/>
      <c r="X30" s="89"/>
      <c r="Y30" s="89"/>
      <c r="Z30" s="89"/>
      <c r="AA30" s="89"/>
      <c r="AB30" s="89"/>
      <c r="AC30" s="89"/>
      <c r="AD30" s="52"/>
      <c r="AE30" s="52"/>
      <c r="AF30" s="52"/>
      <c r="AG30" s="52"/>
      <c r="AH30" s="52"/>
      <c r="AI30" s="52"/>
      <c r="AJ30" s="68"/>
      <c r="AK30" s="89"/>
      <c r="AL30" s="89"/>
      <c r="AM30" s="28"/>
      <c r="AN30" s="28"/>
      <c r="AO30" s="28"/>
      <c r="AP30" s="28"/>
      <c r="AQ30" s="28"/>
      <c r="AR30" s="28"/>
      <c r="AS30" s="28"/>
      <c r="AT30" s="28"/>
      <c r="AU30" s="28"/>
      <c r="AV30" s="28"/>
      <c r="AW30" s="28"/>
      <c r="AX30" s="28"/>
      <c r="AY30" s="24"/>
      <c r="AZ30" s="7"/>
      <c r="BA30" s="4" t="s">
        <v>33</v>
      </c>
      <c r="BB30" s="4" t="s">
        <v>28</v>
      </c>
      <c r="BC30" s="4">
        <v>22</v>
      </c>
      <c r="BD30" s="5" t="s">
        <v>47</v>
      </c>
      <c r="BE30" s="5">
        <v>1</v>
      </c>
      <c r="BF30" s="5" t="s">
        <v>95</v>
      </c>
      <c r="BG30" s="5" t="s">
        <v>30</v>
      </c>
      <c r="BH30" s="4">
        <f t="shared" si="8"/>
        <v>1E-3</v>
      </c>
      <c r="BI30" s="5">
        <f t="shared" si="9"/>
        <v>1E-3</v>
      </c>
      <c r="BJ30" s="318"/>
    </row>
    <row r="31" spans="1:62" ht="3" customHeight="1" x14ac:dyDescent="0.25">
      <c r="A31" s="318"/>
      <c r="B31" s="11"/>
      <c r="C31" s="11"/>
      <c r="D31" s="11"/>
      <c r="E31" s="11"/>
      <c r="F31" s="11"/>
      <c r="G31" s="11"/>
      <c r="H31" s="11"/>
      <c r="I31" s="22"/>
      <c r="J31" s="22"/>
      <c r="K31" s="22"/>
      <c r="L31" s="22"/>
      <c r="M31" s="22"/>
      <c r="N31" s="22"/>
      <c r="O31" s="52"/>
      <c r="P31" s="52"/>
      <c r="Q31" s="52"/>
      <c r="R31" s="52"/>
      <c r="S31" s="52"/>
      <c r="T31" s="52"/>
      <c r="U31" s="68"/>
      <c r="V31" s="28"/>
      <c r="W31" s="46"/>
      <c r="X31" s="22"/>
      <c r="Y31" s="22"/>
      <c r="Z31" s="22"/>
      <c r="AA31" s="22"/>
      <c r="AB31" s="22"/>
      <c r="AC31" s="22"/>
      <c r="AD31" s="52"/>
      <c r="AE31" s="52"/>
      <c r="AF31" s="52"/>
      <c r="AG31" s="52"/>
      <c r="AH31" s="52"/>
      <c r="AI31" s="52"/>
      <c r="AJ31" s="68"/>
      <c r="AK31" s="89"/>
      <c r="AL31" s="89"/>
      <c r="AM31" s="28"/>
      <c r="AN31" s="28"/>
      <c r="AO31" s="28"/>
      <c r="AP31" s="28"/>
      <c r="AQ31" s="28"/>
      <c r="AR31" s="28"/>
      <c r="AS31" s="28"/>
      <c r="AT31" s="28"/>
      <c r="AU31" s="28"/>
      <c r="AV31" s="28"/>
      <c r="AW31" s="28"/>
      <c r="AX31" s="28"/>
      <c r="AY31" s="24"/>
      <c r="AZ31" s="24"/>
      <c r="BA31" s="4" t="s">
        <v>33</v>
      </c>
      <c r="BB31" s="4" t="s">
        <v>31</v>
      </c>
      <c r="BC31" s="4">
        <v>23</v>
      </c>
      <c r="BD31" s="5" t="s">
        <v>42</v>
      </c>
      <c r="BE31" s="189">
        <f>(0.000001)^2*1000</f>
        <v>1.0000000000000001E-9</v>
      </c>
      <c r="BF31" s="5" t="s">
        <v>90</v>
      </c>
      <c r="BG31" s="5" t="s">
        <v>24</v>
      </c>
      <c r="BH31" s="4">
        <f t="shared" si="8"/>
        <v>1E-3</v>
      </c>
      <c r="BI31" s="5">
        <f t="shared" si="9"/>
        <v>1.0000000000000002E-12</v>
      </c>
      <c r="BJ31" s="318"/>
    </row>
    <row r="32" spans="1:62" ht="25.5" x14ac:dyDescent="0.25">
      <c r="A32" s="318"/>
      <c r="B32" s="7"/>
      <c r="C32" s="7"/>
      <c r="D32" s="7"/>
      <c r="E32" s="7"/>
      <c r="F32" s="7"/>
      <c r="G32" s="7">
        <v>1</v>
      </c>
      <c r="H32" s="7"/>
      <c r="I32" s="98" t="str">
        <f>CONCATENATE("CONVERTER REALIZATION for ",I5)</f>
        <v>CONVERTER REALIZATION for REFERENCE</v>
      </c>
      <c r="J32" s="70"/>
      <c r="K32" s="70"/>
      <c r="L32" s="70">
        <v>1</v>
      </c>
      <c r="M32" s="70"/>
      <c r="N32" s="70"/>
      <c r="O32" s="52"/>
      <c r="P32" s="52"/>
      <c r="Q32" s="52"/>
      <c r="R32" s="52"/>
      <c r="S32" s="52"/>
      <c r="T32" s="52"/>
      <c r="U32" s="68"/>
      <c r="V32" s="28"/>
      <c r="W32" s="46"/>
      <c r="X32" s="69" t="str">
        <f>CONCATENATE(E6," VALUE CAPTURE PRICE LEVELS")</f>
        <v>Exceed XP VALUE CAPTURE PRICE LEVELS</v>
      </c>
      <c r="Y32" s="70"/>
      <c r="Z32" s="70"/>
      <c r="AA32" s="70"/>
      <c r="AB32" s="70"/>
      <c r="AC32" s="70"/>
      <c r="AD32" s="52"/>
      <c r="AE32" s="52"/>
      <c r="AF32" s="52"/>
      <c r="AG32" s="52"/>
      <c r="AH32" s="52"/>
      <c r="AI32" s="52"/>
      <c r="AJ32" s="68"/>
      <c r="AK32" s="179"/>
      <c r="AL32" s="179"/>
      <c r="AM32" s="180" t="s">
        <v>65</v>
      </c>
      <c r="AN32" s="180"/>
      <c r="AO32" s="180"/>
      <c r="AP32" s="180"/>
      <c r="AQ32" s="180"/>
      <c r="AR32" s="180"/>
      <c r="AS32" s="180"/>
      <c r="AT32" s="180"/>
      <c r="AU32" s="180"/>
      <c r="AV32" s="180"/>
      <c r="AW32" s="180"/>
      <c r="AX32" s="180"/>
      <c r="AY32" s="181"/>
      <c r="AZ32" s="24"/>
      <c r="BA32" s="4" t="s">
        <v>33</v>
      </c>
      <c r="BB32" s="4" t="s">
        <v>32</v>
      </c>
      <c r="BC32" s="4">
        <v>24</v>
      </c>
      <c r="BD32" s="5" t="s">
        <v>44</v>
      </c>
      <c r="BE32" s="189">
        <f>0.000001*1000</f>
        <v>1E-3</v>
      </c>
      <c r="BF32" s="5" t="s">
        <v>83</v>
      </c>
      <c r="BG32" s="5" t="s">
        <v>27</v>
      </c>
      <c r="BH32" s="4">
        <f t="shared" si="8"/>
        <v>1E-3</v>
      </c>
      <c r="BI32" s="5">
        <f t="shared" si="9"/>
        <v>9.9999999999999995E-7</v>
      </c>
      <c r="BJ32" s="318"/>
    </row>
    <row r="33" spans="1:62" ht="13.5" x14ac:dyDescent="0.25">
      <c r="A33" s="318"/>
      <c r="B33" s="7"/>
      <c r="C33" s="7"/>
      <c r="D33" s="7"/>
      <c r="E33" s="7"/>
      <c r="F33" s="7"/>
      <c r="G33" s="7"/>
      <c r="H33" s="7"/>
      <c r="I33" s="6" t="s">
        <v>57</v>
      </c>
      <c r="J33" s="5"/>
      <c r="K33" s="5"/>
      <c r="L33" s="167" t="str">
        <f>CONCATENATE(Z45,N22," * ",ROUND(J60,2),X44," =")</f>
        <v>1KT * 1500USD/TON =</v>
      </c>
      <c r="M33" s="37">
        <f>ROUND((M22*J60)/LOOKUP(1,J28:J30,L28:L30),3)</f>
        <v>1.5</v>
      </c>
      <c r="N33" s="4" t="str">
        <f>CONCATENATE(LOOKUP(1,J28:J30,M28:M30)," pa")</f>
        <v>MUSD pa</v>
      </c>
      <c r="O33" s="52"/>
      <c r="P33" s="52"/>
      <c r="Q33" s="52"/>
      <c r="R33" s="52"/>
      <c r="S33" s="52"/>
      <c r="T33" s="52"/>
      <c r="U33" s="68"/>
      <c r="V33" s="28"/>
      <c r="W33" s="52"/>
      <c r="X33" s="305" t="str">
        <f>CONCATENATE("EMC % value capture (VC) when ",E6," is priced at the level to the right")</f>
        <v>EMC % value capture (VC) when Exceed XP is priced at the level to the right</v>
      </c>
      <c r="Y33" s="306"/>
      <c r="Z33" s="306"/>
      <c r="AA33" s="36" t="s">
        <v>78</v>
      </c>
      <c r="AB33" s="78" t="e">
        <f>AK33+AY33</f>
        <v>#DIV/0!</v>
      </c>
      <c r="AC33" s="6" t="str">
        <f>N27</f>
        <v>USD/TON</v>
      </c>
      <c r="AD33" s="52"/>
      <c r="AE33" s="52"/>
      <c r="AF33" s="52"/>
      <c r="AG33" s="52"/>
      <c r="AH33" s="52"/>
      <c r="AI33" s="52"/>
      <c r="AJ33" s="68"/>
      <c r="AK33" s="182" t="e">
        <f>IF($C$13&lt;&gt;1,(U47*100%*100%*100%-AJ$6*SUMPRODUCT($F$9:$F$18,$G$9:$G$18,AJ$9:AJ$18)*AK47)/(AJ$6*$G$19*AJ$19*AK47),(U47*100%*100%*100%-AJ$6*AB$42*SUMPRODUCT($F$9:$F$18,AJ$9:AJ$18)*AK47)/(AJ$6*AB$42*AJ$19*AK47))</f>
        <v>#DIV/0!</v>
      </c>
      <c r="AL33" s="183"/>
      <c r="AM33" s="184" t="str">
        <f>CONCATENATE("100% of VC in ",F8)</f>
        <v>100% of VC in USD/TON</v>
      </c>
      <c r="AN33" s="184"/>
      <c r="AO33" s="184"/>
      <c r="AP33" s="184"/>
      <c r="AQ33" s="184"/>
      <c r="AR33" s="184"/>
      <c r="AS33" s="184"/>
      <c r="AT33" s="184"/>
      <c r="AU33" s="184"/>
      <c r="AV33" s="184"/>
      <c r="AW33" s="184"/>
      <c r="AX33" s="184"/>
      <c r="AY33" s="174" t="e">
        <f>IF(AB27&gt;=100%,AZ33-AZ35,AZ33-AZ35)</f>
        <v>#DIV/0!</v>
      </c>
      <c r="AZ33" s="5" t="e">
        <f>IF($C$13&lt;&gt;1,(U47*AB27*100%-AY$6*SUMPRODUCT($F$9:$F$18,$G$9:$G$18,AY$9:AY$18)*AZ47)/(AY$6*$G$19*AY$19*AZ47),(U47*AB27*100%-AY$6*AB$42*SUMPRODUCT($F$9:$F$18,AY$9:AY$18)*AZ47)/(AY$6*AB$42*AY$19*AZ47))</f>
        <v>#DIV/0!</v>
      </c>
      <c r="BA33" s="24"/>
      <c r="BB33" s="24"/>
      <c r="BC33" s="24"/>
      <c r="BD33" s="24"/>
      <c r="BE33" s="24"/>
      <c r="BF33" s="24"/>
      <c r="BG33" s="24"/>
      <c r="BH33" s="24"/>
      <c r="BI33" s="24"/>
      <c r="BJ33" s="318"/>
    </row>
    <row r="34" spans="1:62" ht="13.5" x14ac:dyDescent="0.25">
      <c r="A34" s="318"/>
      <c r="B34" s="7"/>
      <c r="C34" s="7"/>
      <c r="D34" s="7"/>
      <c r="E34" s="7"/>
      <c r="F34" s="7"/>
      <c r="G34" s="7"/>
      <c r="H34" s="7"/>
      <c r="I34" s="6" t="s">
        <v>55</v>
      </c>
      <c r="J34" s="5"/>
      <c r="K34" s="5"/>
      <c r="L34" s="167" t="str">
        <f>CONCATENATE(ROUND(Z45,2),N22," * ",ROUND(Z44,2),X44," =")</f>
        <v>1KT * 1000USD/TON =</v>
      </c>
      <c r="M34" s="37">
        <f>ROUND((-M22*Z44)/LOOKUP(1,J28:J30,L28:L30),3)</f>
        <v>-1</v>
      </c>
      <c r="N34" s="4" t="str">
        <f>CONCATENATE(LOOKUP(1,J28:J30,M28:M30)," pa")</f>
        <v>MUSD pa</v>
      </c>
      <c r="O34" s="52"/>
      <c r="P34" s="52"/>
      <c r="Q34" s="52"/>
      <c r="R34" s="52"/>
      <c r="S34" s="52"/>
      <c r="T34" s="52"/>
      <c r="U34" s="68"/>
      <c r="V34" s="28"/>
      <c r="W34" s="156"/>
      <c r="X34" s="306"/>
      <c r="Y34" s="306"/>
      <c r="Z34" s="306"/>
      <c r="AA34" s="36" t="s">
        <v>79</v>
      </c>
      <c r="AB34" s="78" t="e">
        <f>AK34+AY34</f>
        <v>#DIV/0!</v>
      </c>
      <c r="AC34" s="164" t="str">
        <f>N27</f>
        <v>USD/TON</v>
      </c>
      <c r="AD34" s="52"/>
      <c r="AE34" s="52"/>
      <c r="AF34" s="52"/>
      <c r="AG34" s="52"/>
      <c r="AH34" s="52"/>
      <c r="AI34" s="52"/>
      <c r="AJ34" s="68"/>
      <c r="AK34" s="182" t="e">
        <f>IF($C$13&lt;&gt;1,(U47*(100%-ABS(AB26)*0.5)*(100%-(Z42-AB42)/Z42*0.5)*100%-AJ$6*SUMPRODUCT($F$9:$F$18,$G$9:$G$18,AJ$9:AJ$18)*AK48)/(AJ$6*$G$19*AJ$19*AK48),(U47*(100%-ABS(AB26)*0.5)*(100%-(Z42-AB42)/Z42*0.5)*100%-AJ$6*AB$42*SUMPRODUCT($F$9:$F$18,AJ$9:AJ$18)*AK48)/(AJ$6*AB$42*AJ$19*AK48))</f>
        <v>#DIV/0!</v>
      </c>
      <c r="AL34" s="183"/>
      <c r="AM34" s="184" t="str">
        <f>CONCATENATE("50% of VC in ",F8)</f>
        <v>50% of VC in USD/TON</v>
      </c>
      <c r="AN34" s="184"/>
      <c r="AO34" s="184"/>
      <c r="AP34" s="184"/>
      <c r="AQ34" s="184"/>
      <c r="AR34" s="184"/>
      <c r="AS34" s="184"/>
      <c r="AT34" s="184"/>
      <c r="AU34" s="184"/>
      <c r="AV34" s="184"/>
      <c r="AW34" s="184"/>
      <c r="AX34" s="184"/>
      <c r="AY34" s="174" t="e">
        <f>IF(AB27&gt;=100%,AZ34-AZ35,AZ33-AZ35)</f>
        <v>#DIV/0!</v>
      </c>
      <c r="AZ34" s="5" t="e">
        <f>IF($C$13&lt;&gt;1,(U47*(100%+(AB27-100%)*0.5)-AY$6*SUMPRODUCT($F$9:$F$18,$G$9:$G$18,AY$9:AY$18)*AZ48)/(AY$6*$G$19*AY$19*AZ48),(U47*(100%+(AB27-100%)*0.5)-AY$6*AB$42*SUMPRODUCT($F$9:$F$18,AY$9:AY$18)*AZ48)/(AY$6*AB$42*AY$19*AZ48))</f>
        <v>#DIV/0!</v>
      </c>
      <c r="BA34" s="89"/>
      <c r="BB34" s="81"/>
      <c r="BC34" s="81"/>
      <c r="BD34" s="81"/>
      <c r="BE34" s="81"/>
      <c r="BF34" s="81"/>
      <c r="BG34" s="81"/>
      <c r="BH34" s="81"/>
      <c r="BI34" s="24"/>
      <c r="BJ34" s="318"/>
    </row>
    <row r="35" spans="1:62" ht="14.25" thickBot="1" x14ac:dyDescent="0.3">
      <c r="A35" s="318"/>
      <c r="B35" s="7"/>
      <c r="C35" s="7"/>
      <c r="D35" s="7"/>
      <c r="E35" s="7"/>
      <c r="F35" s="7"/>
      <c r="G35" s="7"/>
      <c r="H35" s="7"/>
      <c r="I35" s="6" t="s">
        <v>56</v>
      </c>
      <c r="J35" s="5"/>
      <c r="K35" s="5"/>
      <c r="L35" s="167" t="str">
        <f>CONCATENATE(M26,"/365 * (",Z45,N22,"*",ROUND(Z44,2),X44,") =")</f>
        <v>100/365 * (1KT*1000USD/TON) =</v>
      </c>
      <c r="M35" s="37">
        <f>ROUND(M26/365*(M34),10)</f>
        <v>-0.27397260270000001</v>
      </c>
      <c r="N35" s="4" t="str">
        <f>CONCATENATE(LOOKUP(1,J28:J30,M28:M30)," pa")</f>
        <v>MUSD pa</v>
      </c>
      <c r="O35" s="52"/>
      <c r="P35" s="52"/>
      <c r="Q35" s="52"/>
      <c r="R35" s="52"/>
      <c r="S35" s="52"/>
      <c r="T35" s="52"/>
      <c r="U35" s="68"/>
      <c r="V35" s="28"/>
      <c r="W35" s="52"/>
      <c r="X35" s="307"/>
      <c r="Y35" s="307"/>
      <c r="Z35" s="307"/>
      <c r="AA35" s="36" t="s">
        <v>80</v>
      </c>
      <c r="AB35" s="78" t="e">
        <f>AK35+AY35</f>
        <v>#DIV/0!</v>
      </c>
      <c r="AC35" s="164" t="str">
        <f>N27</f>
        <v>USD/TON</v>
      </c>
      <c r="AD35" s="52"/>
      <c r="AE35" s="52"/>
      <c r="AF35" s="52"/>
      <c r="AG35" s="52"/>
      <c r="AH35" s="52"/>
      <c r="AI35" s="52"/>
      <c r="AJ35" s="68"/>
      <c r="AK35" s="182" t="e">
        <f>IF($C$13&lt;&gt;1,(U47*(100%-ABS(AB26))*(100%-(Z42-AB42)/Z42)*100%-AJ$6*SUMPRODUCT($F$9:$F$18,$G$9:$G$18,AJ$9:AJ$18)*AK49)/(AJ$6*$G$19*AJ$19*AK49),(U47*(100%-ABS(AB26))*(100%-(Z42-AB42)/Z42)*100%-AJ$6*AB$42*SUMPRODUCT($F$9:$F$18,AJ$9:AJ$18)*AK49)/(AJ$6*AB$42*AJ$19*AK49))</f>
        <v>#DIV/0!</v>
      </c>
      <c r="AL35" s="183"/>
      <c r="AM35" s="186" t="str">
        <f>CONCATENATE("0% of VC in ",F8)</f>
        <v>0% of VC in USD/TON</v>
      </c>
      <c r="AN35" s="186"/>
      <c r="AO35" s="186"/>
      <c r="AP35" s="186"/>
      <c r="AQ35" s="186"/>
      <c r="AR35" s="186"/>
      <c r="AS35" s="186"/>
      <c r="AT35" s="186"/>
      <c r="AU35" s="186"/>
      <c r="AV35" s="186"/>
      <c r="AW35" s="186"/>
      <c r="AX35" s="186"/>
      <c r="AY35" s="174" t="e">
        <f>IF(AB27&gt;=100%,AZ35-AZ35,AZ33-AZ35)</f>
        <v>#DIV/0!</v>
      </c>
      <c r="AZ35" s="5" t="e">
        <f>IF($C$13&lt;&gt;1,(U47*100%-AY$6*SUMPRODUCT($F$9:$F$18,$G$9:$G$18,AY$9:AY$18)*AZ49)/(AY$6*$G$19*AY$19*AZ49),(U47*100%-AY$6*AB$42*SUMPRODUCT($F$9:$F$18,AY$9:AY$18)*AZ49)/(AY$6*AB$42*AY$19*AZ49))</f>
        <v>#DIV/0!</v>
      </c>
      <c r="BA35" s="89"/>
      <c r="BB35" s="89"/>
      <c r="BC35" s="89"/>
      <c r="BD35" s="81"/>
      <c r="BE35" s="89"/>
      <c r="BF35" s="81"/>
      <c r="BG35" s="89"/>
      <c r="BH35" s="81"/>
      <c r="BI35" s="24"/>
      <c r="BJ35" s="318"/>
    </row>
    <row r="36" spans="1:62" ht="14.25" thickTop="1" x14ac:dyDescent="0.25">
      <c r="A36" s="318"/>
      <c r="B36" s="7"/>
      <c r="C36" s="7"/>
      <c r="D36" s="7"/>
      <c r="E36" s="7"/>
      <c r="F36" s="7"/>
      <c r="G36" s="7"/>
      <c r="H36" s="7"/>
      <c r="I36" s="6" t="s">
        <v>60</v>
      </c>
      <c r="J36" s="165"/>
      <c r="K36" s="165"/>
      <c r="L36" s="167" t="str">
        <f>CONCATENATE(M22,N22," * ",M27,N27," =")</f>
        <v>1KT * 50USD/TON =</v>
      </c>
      <c r="M36" s="172">
        <f>ROUND((-M22)*M27/LOOKUP(1,J28:J30,L28:L30),3)</f>
        <v>-0.05</v>
      </c>
      <c r="N36" s="191" t="str">
        <f>CONCATENATE(LOOKUP(1,J28:J30,M28:M30)," pa")</f>
        <v>MUSD pa</v>
      </c>
      <c r="O36" s="52"/>
      <c r="P36" s="52"/>
      <c r="Q36" s="52"/>
      <c r="R36" s="52"/>
      <c r="S36" s="52"/>
      <c r="T36" s="52"/>
      <c r="U36" s="68"/>
      <c r="V36" s="28"/>
      <c r="W36" s="52"/>
      <c r="X36" s="308" t="str">
        <f>CONCATENATE("Converter Margin Improvement (CMI) for ",E6," TARGET PRICE using Raw Material Costs (RMC)")</f>
        <v>Converter Margin Improvement (CMI) for Exceed XP TARGET PRICE using Raw Material Costs (RMC)</v>
      </c>
      <c r="Y36" s="309"/>
      <c r="Z36" s="309"/>
      <c r="AA36" s="207" t="s">
        <v>81</v>
      </c>
      <c r="AB36" s="208">
        <f>IF($C13&lt;&gt;1,(SUMPRODUCT($F9:$F18,$G9:$G18,AJ9:AJ18)+$G19*AJ19*$F19)*AJ6*AK47,(SUMPRODUCT($F9:$F18,AJ9:AJ18)+AJ19*$F19)*AB42*AJ6*AK47)</f>
        <v>7.3423198352779689E-2</v>
      </c>
      <c r="AC36" s="209" t="str">
        <f>M47</f>
        <v>USD per sq m</v>
      </c>
      <c r="AD36" s="52"/>
      <c r="AE36" s="52"/>
      <c r="AF36" s="52"/>
      <c r="AG36" s="52"/>
      <c r="AH36" s="52"/>
      <c r="AI36" s="52"/>
      <c r="AJ36" s="68"/>
      <c r="AK36" s="183"/>
      <c r="AL36" s="183"/>
      <c r="AM36" s="180" t="str">
        <f>CONCATENATE("UNIT COST in ",B6," per ",LOOKUP(BA6,BC9:BC32,BG9:BG32))</f>
        <v>UNIT COST in USD per sq m</v>
      </c>
      <c r="AN36" s="180"/>
      <c r="AO36" s="180"/>
      <c r="AP36" s="180"/>
      <c r="AQ36" s="180"/>
      <c r="AR36" s="180"/>
      <c r="AS36" s="180"/>
      <c r="AT36" s="180"/>
      <c r="AU36" s="180"/>
      <c r="AV36" s="180"/>
      <c r="AW36" s="180"/>
      <c r="AX36" s="180"/>
      <c r="AY36" s="187">
        <f>IF($C13&lt;&gt;1,(SUMPRODUCT($F9:$F18,$G9:$G18,AY9:AY18)+$G19*AY19*$F19)*AY6*AZ47,(SUMPRODUCT($F9:$F18,AY9:AY18)+AY19*$F19)*AB42*AY6*AZ47)</f>
        <v>9.1778997940974605E-2</v>
      </c>
      <c r="AZ36" s="7"/>
      <c r="BA36" s="89"/>
      <c r="BB36" s="89"/>
      <c r="BC36" s="89"/>
      <c r="BD36" s="89"/>
      <c r="BE36" s="89"/>
      <c r="BF36" s="89"/>
      <c r="BG36" s="89"/>
      <c r="BH36" s="89"/>
      <c r="BI36" s="7"/>
      <c r="BJ36" s="318"/>
    </row>
    <row r="37" spans="1:62" ht="13.5" x14ac:dyDescent="0.25">
      <c r="A37" s="318"/>
      <c r="B37" s="7"/>
      <c r="C37" s="7"/>
      <c r="D37" s="7"/>
      <c r="E37" s="7"/>
      <c r="F37" s="7"/>
      <c r="G37" s="7"/>
      <c r="H37" s="7"/>
      <c r="I37" s="70" t="s">
        <v>101</v>
      </c>
      <c r="J37" s="237"/>
      <c r="K37" s="238"/>
      <c r="L37" s="238"/>
      <c r="M37" s="239"/>
      <c r="N37" s="238"/>
      <c r="O37" s="52"/>
      <c r="P37" s="52"/>
      <c r="Q37" s="52"/>
      <c r="R37" s="52"/>
      <c r="S37" s="52"/>
      <c r="T37" s="52"/>
      <c r="U37" s="68"/>
      <c r="V37" s="28"/>
      <c r="W37" s="156"/>
      <c r="X37" s="310"/>
      <c r="Y37" s="310"/>
      <c r="Z37" s="310"/>
      <c r="AA37" s="202" t="s">
        <v>82</v>
      </c>
      <c r="AB37" s="204" t="e">
        <f>AJ47-AB36</f>
        <v>#DIV/0!</v>
      </c>
      <c r="AC37" s="206" t="str">
        <f>AC36</f>
        <v>USD per sq m</v>
      </c>
      <c r="AD37" s="52"/>
      <c r="AE37" s="52"/>
      <c r="AF37" s="52"/>
      <c r="AG37" s="52"/>
      <c r="AH37" s="52"/>
      <c r="AI37" s="52"/>
      <c r="AJ37" s="68"/>
      <c r="AK37" s="125"/>
      <c r="AL37" s="125"/>
      <c r="AM37" s="180" t="str">
        <f>CONCATENATE(B6," per ",LOOKUP(BA6,BC9:BC32,BG9:BG32)," CREATED vs. ",I5)</f>
        <v>USD per sq m CREATED vs. REFERENCE</v>
      </c>
      <c r="AN37" s="180"/>
      <c r="AO37" s="180"/>
      <c r="AP37" s="180"/>
      <c r="AQ37" s="180"/>
      <c r="AR37" s="180"/>
      <c r="AS37" s="180"/>
      <c r="AT37" s="180"/>
      <c r="AU37" s="180"/>
      <c r="AV37" s="180"/>
      <c r="AW37" s="180"/>
      <c r="AX37" s="180"/>
      <c r="AY37" s="187" t="e">
        <f>AY47-AY36</f>
        <v>#DIV/0!</v>
      </c>
      <c r="AZ37" s="7"/>
      <c r="BA37" s="7"/>
      <c r="BB37" s="7"/>
      <c r="BC37" s="7"/>
      <c r="BD37" s="7"/>
      <c r="BE37" s="7"/>
      <c r="BF37" s="7"/>
      <c r="BG37" s="7"/>
      <c r="BH37" s="7"/>
      <c r="BI37" s="7"/>
      <c r="BJ37" s="318"/>
    </row>
    <row r="38" spans="1:62" ht="13.5" x14ac:dyDescent="0.25">
      <c r="A38" s="318"/>
      <c r="B38" s="7"/>
      <c r="C38" s="7"/>
      <c r="D38" s="7"/>
      <c r="E38" s="7"/>
      <c r="F38" s="7"/>
      <c r="G38" s="7"/>
      <c r="H38" s="7"/>
      <c r="I38" s="164"/>
      <c r="J38" s="166"/>
      <c r="K38" s="166" t="s">
        <v>77</v>
      </c>
      <c r="L38" s="164"/>
      <c r="M38" s="173">
        <f>SUM(M33,M34,M35,M36)</f>
        <v>0.1760273973</v>
      </c>
      <c r="N38" s="192" t="str">
        <f>CONCATENATE(LOOKUP(1,J28:J30,M28:M30)," pa")</f>
        <v>MUSD pa</v>
      </c>
      <c r="O38" s="52"/>
      <c r="P38" s="52"/>
      <c r="Q38" s="52"/>
      <c r="R38" s="52"/>
      <c r="S38" s="52"/>
      <c r="T38" s="52"/>
      <c r="U38" s="68"/>
      <c r="V38" s="28"/>
      <c r="W38" s="52"/>
      <c r="X38" s="310"/>
      <c r="Y38" s="310"/>
      <c r="Z38" s="310"/>
      <c r="AA38" s="202" t="s">
        <v>99</v>
      </c>
      <c r="AB38" s="205" t="e">
        <f>AB37/$AB36</f>
        <v>#DIV/0!</v>
      </c>
      <c r="AC38" s="206"/>
      <c r="AD38" s="52"/>
      <c r="AE38" s="52"/>
      <c r="AF38" s="52"/>
      <c r="AG38" s="52"/>
      <c r="AH38" s="52"/>
      <c r="AI38" s="52"/>
      <c r="AJ38" s="68"/>
      <c r="AK38" s="125"/>
      <c r="AL38" s="125"/>
      <c r="AM38" s="180" t="str">
        <f>CONCATENATE("% POTENTIAL MARGIN IMPROVEMENT vs. ",I5)</f>
        <v>% POTENTIAL MARGIN IMPROVEMENT vs. REFERENCE</v>
      </c>
      <c r="AN38" s="180"/>
      <c r="AO38" s="180"/>
      <c r="AP38" s="180"/>
      <c r="AQ38" s="180"/>
      <c r="AR38" s="180"/>
      <c r="AS38" s="180"/>
      <c r="AT38" s="180"/>
      <c r="AU38" s="180"/>
      <c r="AV38" s="180"/>
      <c r="AW38" s="180"/>
      <c r="AX38" s="180"/>
      <c r="AY38" s="188" t="e">
        <f>AY37/$AY36</f>
        <v>#DIV/0!</v>
      </c>
      <c r="AZ38" s="7"/>
      <c r="BA38" s="7"/>
      <c r="BB38" s="7"/>
      <c r="BC38" s="7"/>
      <c r="BD38" s="7"/>
      <c r="BE38" s="7"/>
      <c r="BF38" s="7"/>
      <c r="BG38" s="7"/>
      <c r="BH38" s="7"/>
      <c r="BI38" s="7"/>
      <c r="BJ38" s="318"/>
    </row>
    <row r="39" spans="1:62" ht="3" customHeight="1" thickBot="1" x14ac:dyDescent="0.3">
      <c r="A39" s="318"/>
      <c r="B39" s="7"/>
      <c r="C39" s="7"/>
      <c r="D39" s="7"/>
      <c r="E39" s="7"/>
      <c r="F39" s="7"/>
      <c r="G39" s="7"/>
      <c r="H39" s="7"/>
      <c r="I39" s="176"/>
      <c r="J39" s="175"/>
      <c r="K39" s="175"/>
      <c r="L39" s="176"/>
      <c r="M39" s="177"/>
      <c r="N39" s="177"/>
      <c r="O39" s="52"/>
      <c r="P39" s="52"/>
      <c r="Q39" s="52"/>
      <c r="R39" s="52"/>
      <c r="S39" s="52"/>
      <c r="T39" s="52"/>
      <c r="U39" s="68"/>
      <c r="V39" s="28"/>
      <c r="W39" s="52"/>
      <c r="X39" s="178"/>
      <c r="Y39" s="178"/>
      <c r="Z39" s="178"/>
      <c r="AA39" s="178"/>
      <c r="AB39" s="185"/>
      <c r="AC39" s="185"/>
      <c r="AD39" s="52"/>
      <c r="AE39" s="52"/>
      <c r="AF39" s="52"/>
      <c r="AG39" s="52"/>
      <c r="AH39" s="52"/>
      <c r="AI39" s="52"/>
      <c r="AJ39" s="68"/>
      <c r="AK39" s="7"/>
      <c r="AL39" s="7"/>
      <c r="AM39" s="15"/>
      <c r="AN39" s="15"/>
      <c r="AO39" s="15"/>
      <c r="AP39" s="15"/>
      <c r="AQ39" s="15"/>
      <c r="AR39" s="15"/>
      <c r="AS39" s="15"/>
      <c r="AT39" s="15"/>
      <c r="AU39" s="15"/>
      <c r="AV39" s="15"/>
      <c r="AW39" s="15"/>
      <c r="AX39" s="15"/>
      <c r="AY39" s="24"/>
      <c r="AZ39" s="7"/>
      <c r="BA39" s="7"/>
      <c r="BB39" s="7"/>
      <c r="BC39" s="7"/>
      <c r="BD39" s="7"/>
      <c r="BE39" s="7"/>
      <c r="BF39" s="7"/>
      <c r="BG39" s="7"/>
      <c r="BH39" s="7"/>
      <c r="BI39" s="7"/>
      <c r="BJ39" s="318"/>
    </row>
    <row r="40" spans="1:62" ht="14.25" thickTop="1" x14ac:dyDescent="0.25">
      <c r="A40" s="318"/>
      <c r="B40" s="7"/>
      <c r="C40" s="7"/>
      <c r="D40" s="7"/>
      <c r="E40" s="7"/>
      <c r="F40" s="7"/>
      <c r="G40" s="7"/>
      <c r="H40" s="7"/>
      <c r="I40" s="98" t="str">
        <f>CONCATENATE("DOWNSTREAM PLAYERS PURCHASING COSTS for ",I5)</f>
        <v>DOWNSTREAM PLAYERS PURCHASING COSTS for REFERENCE</v>
      </c>
      <c r="J40" s="70"/>
      <c r="K40" s="70"/>
      <c r="L40" s="70"/>
      <c r="M40" s="70"/>
      <c r="N40" s="70"/>
      <c r="O40" s="52"/>
      <c r="P40" s="52"/>
      <c r="Q40" s="52"/>
      <c r="R40" s="52"/>
      <c r="S40" s="52"/>
      <c r="T40" s="52"/>
      <c r="U40" s="68"/>
      <c r="V40" s="28"/>
      <c r="W40" s="52"/>
      <c r="X40" s="218" t="s">
        <v>55</v>
      </c>
      <c r="Y40" s="218"/>
      <c r="Z40" s="230" t="str">
        <f>I5</f>
        <v>REFERENCE</v>
      </c>
      <c r="AA40" s="231"/>
      <c r="AB40" s="218" t="str">
        <f>X5</f>
        <v>ALTERNATIVE</v>
      </c>
      <c r="AC40" s="218"/>
      <c r="AD40" s="52"/>
      <c r="AE40" s="52"/>
      <c r="AF40" s="52"/>
      <c r="AG40" s="52"/>
      <c r="AH40" s="52"/>
      <c r="AI40" s="52"/>
      <c r="AJ40" s="68"/>
      <c r="AK40" s="7"/>
      <c r="AL40" s="7"/>
      <c r="AM40" s="15"/>
      <c r="AN40" s="15"/>
      <c r="AO40" s="15"/>
      <c r="AP40" s="15"/>
      <c r="AQ40" s="15"/>
      <c r="AR40" s="15"/>
      <c r="AS40" s="15"/>
      <c r="AT40" s="15"/>
      <c r="AU40" s="15"/>
      <c r="AV40" s="15"/>
      <c r="AW40" s="15"/>
      <c r="AX40" s="15"/>
      <c r="AY40" s="24"/>
      <c r="AZ40" s="7"/>
      <c r="BA40" s="7"/>
      <c r="BB40" s="7"/>
      <c r="BC40" s="7"/>
      <c r="BD40" s="7"/>
      <c r="BE40" s="7"/>
      <c r="BF40" s="7"/>
      <c r="BG40" s="7"/>
      <c r="BH40" s="7"/>
      <c r="BI40" s="7"/>
      <c r="BJ40" s="318"/>
    </row>
    <row r="41" spans="1:62" ht="13.5" x14ac:dyDescent="0.25">
      <c r="A41" s="318"/>
      <c r="B41" s="7"/>
      <c r="C41" s="7"/>
      <c r="D41" s="7"/>
      <c r="E41" s="7"/>
      <c r="F41" s="7"/>
      <c r="G41" s="7"/>
      <c r="H41" s="7"/>
      <c r="I41" s="6" t="s">
        <v>76</v>
      </c>
      <c r="J41" s="5"/>
      <c r="K41" s="5"/>
      <c r="L41" s="167" t="str">
        <f>CONCATENATE(Z45,N22," * ",ROUND(J60,2),X44," =")</f>
        <v>1KT * 1500USD/TON =</v>
      </c>
      <c r="M41" s="37">
        <f>ROUND((M22*J60)/LOOKUP(1,J28:J30,L28:L30),3)</f>
        <v>1.5</v>
      </c>
      <c r="N41" s="4" t="str">
        <f>CONCATENATE(LOOKUP(1,J28:J30,M28:M30)," pa")</f>
        <v>MUSD pa</v>
      </c>
      <c r="O41" s="52"/>
      <c r="P41" s="52"/>
      <c r="Q41" s="52"/>
      <c r="R41" s="52"/>
      <c r="S41" s="52"/>
      <c r="T41" s="52"/>
      <c r="U41" s="68"/>
      <c r="V41" s="28"/>
      <c r="W41" s="52"/>
      <c r="X41" s="210" t="str">
        <f>CONCATENATE(B6," per 1000 ",LOOKUP(BA6,BC9:BC32,BG9:BG32))</f>
        <v>USD per 1000 sq m</v>
      </c>
      <c r="Y41" s="201"/>
      <c r="Z41" s="232">
        <f>U47*1000</f>
        <v>91.6891128235075</v>
      </c>
      <c r="AA41" s="233"/>
      <c r="AB41" s="216">
        <f>AB36*1000</f>
        <v>73.423198352779693</v>
      </c>
      <c r="AC41" s="210"/>
      <c r="AD41" s="52"/>
      <c r="AE41" s="52"/>
      <c r="AF41" s="52"/>
      <c r="AG41" s="52"/>
      <c r="AH41" s="52"/>
      <c r="AI41" s="52"/>
      <c r="AJ41" s="68"/>
      <c r="AK41" s="7"/>
      <c r="AL41" s="7"/>
      <c r="AM41" s="15"/>
      <c r="AN41" s="15"/>
      <c r="AO41" s="15"/>
      <c r="AP41" s="15"/>
      <c r="AQ41" s="15"/>
      <c r="AR41" s="15"/>
      <c r="AS41" s="15"/>
      <c r="AT41" s="15"/>
      <c r="AU41" s="15"/>
      <c r="AV41" s="15"/>
      <c r="AW41" s="15"/>
      <c r="AX41" s="15"/>
      <c r="AY41" s="24"/>
      <c r="AZ41" s="7"/>
      <c r="BA41" s="7"/>
      <c r="BB41" s="7"/>
      <c r="BC41" s="7"/>
      <c r="BD41" s="7"/>
      <c r="BE41" s="7"/>
      <c r="BF41" s="7"/>
      <c r="BG41" s="7"/>
      <c r="BH41" s="7"/>
      <c r="BI41" s="7"/>
      <c r="BJ41" s="318"/>
    </row>
    <row r="42" spans="1:62" ht="13.5" x14ac:dyDescent="0.25">
      <c r="A42" s="318"/>
      <c r="B42" s="7"/>
      <c r="C42" s="7"/>
      <c r="D42" s="7"/>
      <c r="E42" s="7"/>
      <c r="F42" s="7"/>
      <c r="G42" s="7"/>
      <c r="H42" s="7"/>
      <c r="I42" s="6" t="s">
        <v>56</v>
      </c>
      <c r="J42" s="5"/>
      <c r="K42" s="5"/>
      <c r="L42" s="167" t="str">
        <f>CONCATENATE(M26,"/365 * (",Z45,N22,"*",ROUND(M24,2),X44,") =")</f>
        <v>100/365 * (1KT*1500USD/TON) =</v>
      </c>
      <c r="M42" s="37">
        <f>ROUND(M26/365*(M41),10)</f>
        <v>0.41095890410000002</v>
      </c>
      <c r="N42" s="4" t="str">
        <f>CONCATENATE(LOOKUP(1,J28:J30,M28:M30)," pa")</f>
        <v>MUSD pa</v>
      </c>
      <c r="O42" s="52"/>
      <c r="P42" s="52"/>
      <c r="Q42" s="52"/>
      <c r="R42" s="52"/>
      <c r="S42" s="52"/>
      <c r="T42" s="52"/>
      <c r="U42" s="68"/>
      <c r="V42" s="28"/>
      <c r="W42" s="52"/>
      <c r="X42" s="210" t="s">
        <v>64</v>
      </c>
      <c r="Y42" s="201"/>
      <c r="Z42" s="234">
        <f>IF($C$13&lt;&gt;1,SUM(V9:V19),1/SUM(V9:V19))</f>
        <v>0.91689112823507501</v>
      </c>
      <c r="AA42" s="233"/>
      <c r="AB42" s="217">
        <f>IF($C$13&lt;&gt;1,SUM(AK9:AK19),1/SUM(AK9:AK19))</f>
        <v>0.91778997940974616</v>
      </c>
      <c r="AC42" s="210"/>
      <c r="AD42" s="52"/>
      <c r="AE42" s="52"/>
      <c r="AF42" s="52"/>
      <c r="AG42" s="52"/>
      <c r="AH42" s="52"/>
      <c r="AI42" s="52"/>
      <c r="AJ42" s="68"/>
      <c r="AK42" s="7"/>
      <c r="AL42" s="7"/>
      <c r="AM42" s="15"/>
      <c r="AN42" s="15"/>
      <c r="AO42" s="15"/>
      <c r="AP42" s="15"/>
      <c r="AQ42" s="15"/>
      <c r="AR42" s="15"/>
      <c r="AS42" s="15"/>
      <c r="AT42" s="15"/>
      <c r="AU42" s="15"/>
      <c r="AV42" s="15"/>
      <c r="AW42" s="15"/>
      <c r="AX42" s="15"/>
      <c r="AY42" s="24"/>
      <c r="AZ42" s="7"/>
      <c r="BA42" s="7"/>
      <c r="BB42" s="7"/>
      <c r="BC42" s="7"/>
      <c r="BD42" s="7"/>
      <c r="BE42" s="7"/>
      <c r="BF42" s="7"/>
      <c r="BG42" s="7"/>
      <c r="BH42" s="7"/>
      <c r="BI42" s="7"/>
      <c r="BJ42" s="318"/>
    </row>
    <row r="43" spans="1:62" ht="13.5" x14ac:dyDescent="0.25">
      <c r="A43" s="318"/>
      <c r="B43" s="7"/>
      <c r="C43" s="7"/>
      <c r="D43" s="7"/>
      <c r="E43" s="7"/>
      <c r="F43" s="7"/>
      <c r="G43" s="7"/>
      <c r="H43" s="7"/>
      <c r="I43" s="164"/>
      <c r="J43" s="5"/>
      <c r="K43" s="4" t="s">
        <v>77</v>
      </c>
      <c r="L43" s="167"/>
      <c r="M43" s="37">
        <f>SUM(M41:M42)</f>
        <v>1.9109589041000001</v>
      </c>
      <c r="N43" s="4" t="str">
        <f>CONCATENATE(LOOKUP(1,J28:J30,M28:M30)," pa")</f>
        <v>MUSD pa</v>
      </c>
      <c r="O43" s="52"/>
      <c r="P43" s="52"/>
      <c r="Q43" s="52"/>
      <c r="R43" s="52"/>
      <c r="S43" s="52"/>
      <c r="T43" s="52"/>
      <c r="U43" s="68"/>
      <c r="V43" s="28"/>
      <c r="W43" s="52"/>
      <c r="X43" s="210" t="str">
        <f>LOOKUP(BA6,BC9:BC32,BF9:BF32)</f>
        <v>KG / 1000 sq m</v>
      </c>
      <c r="Y43" s="201"/>
      <c r="Z43" s="232">
        <f>IF($BF5&lt;&gt;1,Z42*U6*LOOKUP($BA6,$BC9:$BC32,$BE9:$BE32),Z42*LOOKUP($BA6,$BC9:$BC32,$BE9:$BE32))*1000</f>
        <v>91.6891128235075</v>
      </c>
      <c r="AA43" s="233"/>
      <c r="AB43" s="216">
        <f>IF($BF5&lt;&gt;1,AB42*AJ6*LOOKUP($BA6,$BC9:$BC32,$BE9:$BE32),AB42*LOOKUP($BA6,$BC9:$BC32,$BE9:$BE32))*1000</f>
        <v>73.423198352779693</v>
      </c>
      <c r="AC43" s="210"/>
      <c r="AD43" s="52"/>
      <c r="AE43" s="52"/>
      <c r="AF43" s="52"/>
      <c r="AG43" s="52"/>
      <c r="AH43" s="52"/>
      <c r="AI43" s="52"/>
      <c r="AJ43" s="68"/>
      <c r="AK43" s="7"/>
      <c r="AL43" s="7"/>
      <c r="AM43" s="15"/>
      <c r="AN43" s="15"/>
      <c r="AO43" s="15"/>
      <c r="AP43" s="15"/>
      <c r="AQ43" s="15"/>
      <c r="AR43" s="15"/>
      <c r="AS43" s="15"/>
      <c r="AT43" s="15"/>
      <c r="AU43" s="15"/>
      <c r="AV43" s="15"/>
      <c r="AW43" s="15"/>
      <c r="AX43" s="15"/>
      <c r="AY43" s="24"/>
      <c r="AZ43" s="7"/>
      <c r="BA43" s="7"/>
      <c r="BB43" s="7"/>
      <c r="BC43" s="7"/>
      <c r="BD43" s="7"/>
      <c r="BE43" s="7"/>
      <c r="BF43" s="7"/>
      <c r="BG43" s="7"/>
      <c r="BH43" s="7"/>
      <c r="BI43" s="7"/>
      <c r="BJ43" s="318"/>
    </row>
    <row r="44" spans="1:62" ht="13.5" x14ac:dyDescent="0.25">
      <c r="A44" s="318"/>
      <c r="B44" s="7"/>
      <c r="C44" s="7"/>
      <c r="D44" s="7"/>
      <c r="E44" s="7"/>
      <c r="F44" s="7"/>
      <c r="G44" s="7"/>
      <c r="H44" s="7"/>
      <c r="I44" s="7"/>
      <c r="J44" s="7"/>
      <c r="K44" s="7"/>
      <c r="L44" s="7"/>
      <c r="M44" s="7"/>
      <c r="N44" s="7"/>
      <c r="O44" s="7"/>
      <c r="P44" s="7"/>
      <c r="Q44" s="7"/>
      <c r="R44" s="7"/>
      <c r="S44" s="7"/>
      <c r="T44" s="7"/>
      <c r="U44" s="7"/>
      <c r="V44" s="28"/>
      <c r="W44" s="52"/>
      <c r="X44" s="210" t="str">
        <f>F8</f>
        <v>USD/TON</v>
      </c>
      <c r="Y44" s="201"/>
      <c r="Z44" s="232">
        <f>ROUND(Z41/Z43*LOOKUP(1,J28:L30,L28:L30),2)</f>
        <v>1000</v>
      </c>
      <c r="AA44" s="233"/>
      <c r="AB44" s="216">
        <f>ROUND(AB41/AB43*LOOKUP(1,J28:L30,L28:L30),2)</f>
        <v>1000</v>
      </c>
      <c r="AC44" s="210"/>
      <c r="AD44" s="52"/>
      <c r="AE44" s="52"/>
      <c r="AF44" s="52"/>
      <c r="AG44" s="52"/>
      <c r="AH44" s="52"/>
      <c r="AI44" s="52"/>
      <c r="AJ44" s="68"/>
      <c r="AK44" s="7"/>
      <c r="AL44" s="7"/>
      <c r="AM44" s="15"/>
      <c r="AN44" s="15"/>
      <c r="AO44" s="15"/>
      <c r="AP44" s="15"/>
      <c r="AQ44" s="15"/>
      <c r="AR44" s="15"/>
      <c r="AS44" s="15"/>
      <c r="AT44" s="15"/>
      <c r="AU44" s="15"/>
      <c r="AV44" s="15"/>
      <c r="AW44" s="15"/>
      <c r="AX44" s="15"/>
      <c r="AY44" s="24"/>
      <c r="AZ44" s="7"/>
      <c r="BA44" s="7"/>
      <c r="BB44" s="7"/>
      <c r="BC44" s="7"/>
      <c r="BD44" s="7"/>
      <c r="BE44" s="7"/>
      <c r="BF44" s="7"/>
      <c r="BG44" s="7"/>
      <c r="BH44" s="7"/>
      <c r="BI44" s="7"/>
      <c r="BJ44" s="318"/>
    </row>
    <row r="45" spans="1:62" ht="13.5" hidden="1" x14ac:dyDescent="0.25">
      <c r="A45" s="318"/>
      <c r="B45" s="7"/>
      <c r="C45" s="7"/>
      <c r="D45" s="7"/>
      <c r="E45" s="7"/>
      <c r="F45" s="7"/>
      <c r="G45" s="7"/>
      <c r="H45" s="28"/>
      <c r="I45" s="126"/>
      <c r="J45" s="28"/>
      <c r="K45" s="28"/>
      <c r="L45" s="28"/>
      <c r="M45" s="170"/>
      <c r="N45" s="170"/>
      <c r="O45" s="170"/>
      <c r="P45" s="170"/>
      <c r="Q45" s="170"/>
      <c r="R45" s="170"/>
      <c r="S45" s="170"/>
      <c r="T45" s="28"/>
      <c r="U45" s="28"/>
      <c r="V45" s="28"/>
      <c r="W45" s="7"/>
      <c r="X45" s="7"/>
      <c r="Y45" s="7"/>
      <c r="Z45" s="212">
        <f>M22</f>
        <v>1</v>
      </c>
      <c r="AA45" s="211"/>
      <c r="AB45" s="211"/>
      <c r="AC45" s="211"/>
      <c r="AD45" s="211"/>
      <c r="AE45" s="211"/>
      <c r="AF45" s="211"/>
      <c r="AG45" s="211"/>
      <c r="AH45" s="211"/>
      <c r="AI45" s="211"/>
      <c r="AJ45" s="212">
        <f>M22*(1-AB26)*(AB42/Z42)</f>
        <v>0.80078425989476099</v>
      </c>
      <c r="AK45" s="7"/>
      <c r="AL45" s="7"/>
      <c r="AM45" s="7"/>
      <c r="AN45" s="7"/>
      <c r="AO45" s="125"/>
      <c r="AP45" s="125"/>
      <c r="AQ45" s="125"/>
      <c r="AR45" s="125"/>
      <c r="AS45" s="125"/>
      <c r="AT45" s="125"/>
      <c r="AU45" s="125"/>
      <c r="AV45" s="125"/>
      <c r="AW45" s="125"/>
      <c r="AX45" s="125"/>
      <c r="AY45" s="125"/>
      <c r="AZ45" s="28"/>
      <c r="BA45" s="24"/>
      <c r="BB45" s="24"/>
      <c r="BC45" s="95"/>
      <c r="BD45" s="81"/>
      <c r="BE45" s="24"/>
      <c r="BF45" s="24"/>
      <c r="BG45" s="95"/>
      <c r="BH45" s="81"/>
      <c r="BI45" s="24"/>
      <c r="BJ45" s="318"/>
    </row>
    <row r="46" spans="1:62" ht="13.5" hidden="1" x14ac:dyDescent="0.25">
      <c r="A46" s="318"/>
      <c r="B46" s="7"/>
      <c r="C46" s="7"/>
      <c r="D46" s="7"/>
      <c r="E46" s="197"/>
      <c r="F46" s="197"/>
      <c r="G46" s="7"/>
      <c r="H46" s="96"/>
      <c r="I46" s="126"/>
      <c r="J46" s="15"/>
      <c r="K46" s="15"/>
      <c r="L46" s="15"/>
      <c r="M46" s="70" t="str">
        <f>CONCATENATE(I5," UNIT COST")</f>
        <v>REFERENCE UNIT COST</v>
      </c>
      <c r="N46" s="70"/>
      <c r="O46" s="70"/>
      <c r="P46" s="70"/>
      <c r="Q46" s="70"/>
      <c r="R46" s="70"/>
      <c r="S46" s="70"/>
      <c r="T46" s="169"/>
      <c r="U46" s="91"/>
      <c r="V46" s="197"/>
      <c r="W46" s="97"/>
      <c r="X46" s="70" t="str">
        <f>CONCATENATE(X5," UNIT COST")</f>
        <v>ALTERNATIVE UNIT COST</v>
      </c>
      <c r="Y46" s="70"/>
      <c r="Z46" s="70"/>
      <c r="AA46" s="70"/>
      <c r="AB46" s="70"/>
      <c r="AC46" s="70"/>
      <c r="AD46" s="70"/>
      <c r="AE46" s="70"/>
      <c r="AF46" s="70"/>
      <c r="AG46" s="70"/>
      <c r="AH46" s="70"/>
      <c r="AI46" s="69"/>
      <c r="AJ46" s="91"/>
      <c r="AK46" s="213"/>
      <c r="AL46" s="213"/>
      <c r="AM46" s="69" t="str">
        <f>X46</f>
        <v>ALTERNATIVE UNIT COST</v>
      </c>
      <c r="AN46" s="69"/>
      <c r="AO46" s="180"/>
      <c r="AP46" s="180"/>
      <c r="AQ46" s="180"/>
      <c r="AR46" s="180"/>
      <c r="AS46" s="180"/>
      <c r="AT46" s="180"/>
      <c r="AU46" s="180"/>
      <c r="AV46" s="180"/>
      <c r="AW46" s="180"/>
      <c r="AX46" s="180"/>
      <c r="AY46" s="181"/>
      <c r="AZ46" s="7"/>
      <c r="BA46" s="24"/>
      <c r="BB46" s="24"/>
      <c r="BC46" s="24"/>
      <c r="BD46" s="24"/>
      <c r="BE46" s="24"/>
      <c r="BF46" s="24"/>
      <c r="BG46" s="24"/>
      <c r="BH46" s="24"/>
      <c r="BI46" s="24"/>
      <c r="BJ46" s="318"/>
    </row>
    <row r="47" spans="1:62" ht="13.5" hidden="1" x14ac:dyDescent="0.25">
      <c r="A47" s="318"/>
      <c r="B47" s="7"/>
      <c r="C47" s="7"/>
      <c r="D47" s="7"/>
      <c r="E47" s="197"/>
      <c r="F47" s="197"/>
      <c r="G47" s="7"/>
      <c r="H47" s="7"/>
      <c r="I47" s="126"/>
      <c r="J47" s="101"/>
      <c r="K47" s="101"/>
      <c r="L47" s="101"/>
      <c r="M47" s="18" t="str">
        <f>CONCATENATE(B6," per ",LOOKUP(BA6,BC9:BC32,BG9:BG32))</f>
        <v>USD per sq m</v>
      </c>
      <c r="N47" s="18"/>
      <c r="O47" s="18"/>
      <c r="P47" s="18"/>
      <c r="Q47" s="18"/>
      <c r="R47" s="18"/>
      <c r="S47" s="18"/>
      <c r="T47" s="169"/>
      <c r="U47" s="193">
        <f>IF($C$13&lt;&gt;1,SUMPRODUCT(F9:F18,G9:G18,U9:U18)*U6*V47,SUMPRODUCT(F9:F18,U9:U18)*U6*Z42*V47)</f>
        <v>9.1689112823507501E-2</v>
      </c>
      <c r="V47" s="196">
        <f>LOOKUP(BA6,BC9:BC32,BI9:BI32)</f>
        <v>9.9999999999999995E-7</v>
      </c>
      <c r="W47" s="99"/>
      <c r="X47" s="91" t="str">
        <f>CONCATENATE(B6," per ",LOOKUP(BA6,BC9:BC32,BG9:BG32)," at 100% of VC")</f>
        <v>USD per sq m at 100% of VC</v>
      </c>
      <c r="Y47" s="91"/>
      <c r="Z47" s="91"/>
      <c r="AA47" s="91"/>
      <c r="AB47" s="91"/>
      <c r="AC47" s="91"/>
      <c r="AD47" s="91"/>
      <c r="AE47" s="91"/>
      <c r="AF47" s="91"/>
      <c r="AG47" s="91"/>
      <c r="AH47" s="91"/>
      <c r="AI47" s="92"/>
      <c r="AJ47" s="37" t="e">
        <f>IF($C$13&lt;&gt;1,(SUMPRODUCT($F$9:$F$18,$G$9:$G$18,AJ$9:AJ$18)+$G$19*AJ$19*AB33)*AJ$6*AK47,(SUMPRODUCT($F$9:$F$18,AJ$9:AJ$18)+AJ$19*AB33)*AJ$6*AB$42*AK47)</f>
        <v>#DIV/0!</v>
      </c>
      <c r="AK47" s="214">
        <f>LOOKUP(BA6,BC9:BC32,BI9:BI32)</f>
        <v>9.9999999999999995E-7</v>
      </c>
      <c r="AL47" s="20"/>
      <c r="AM47" s="92" t="str">
        <f>CONCATENATE(B6," per ",LOOKUP(BA6,BC9:BC32,BG9:BG32)," at 100% of VC")</f>
        <v>USD per sq m at 100% of VC</v>
      </c>
      <c r="AN47" s="92"/>
      <c r="AO47" s="184"/>
      <c r="AP47" s="184"/>
      <c r="AQ47" s="184"/>
      <c r="AR47" s="184"/>
      <c r="AS47" s="184"/>
      <c r="AT47" s="184"/>
      <c r="AU47" s="184"/>
      <c r="AV47" s="184"/>
      <c r="AW47" s="184"/>
      <c r="AX47" s="184"/>
      <c r="AY47" s="187" t="e">
        <f>IF($C$13&lt;&gt;1,(SUMPRODUCT($F$9:$F$18,$G$9:$G$18,AY$9:AY$18)+$G$19*AY$19*AZ33)*AY$6*AZ47,(SUMPRODUCT($F$9:$F$18,AY$9:AY$18)+AY$19*AZ33)*AY$6*AB$42*AZ47)</f>
        <v>#DIV/0!</v>
      </c>
      <c r="AZ47" s="6">
        <f>LOOKUP(BA6,BC9:BC32,BI9:BI32)</f>
        <v>9.9999999999999995E-7</v>
      </c>
      <c r="BA47" s="24"/>
      <c r="BB47" s="100"/>
      <c r="BC47" s="24"/>
      <c r="BD47" s="81"/>
      <c r="BE47" s="24"/>
      <c r="BF47" s="24"/>
      <c r="BG47" s="24"/>
      <c r="BH47" s="24"/>
      <c r="BI47" s="24"/>
      <c r="BJ47" s="318"/>
    </row>
    <row r="48" spans="1:62" ht="13.5" hidden="1" x14ac:dyDescent="0.25">
      <c r="A48" s="318"/>
      <c r="B48" s="7"/>
      <c r="C48" s="7"/>
      <c r="D48" s="7"/>
      <c r="E48" s="197"/>
      <c r="F48" s="197"/>
      <c r="G48" s="7"/>
      <c r="H48" s="7"/>
      <c r="I48" s="126"/>
      <c r="J48" s="101"/>
      <c r="K48" s="101"/>
      <c r="L48" s="101"/>
      <c r="M48" s="171"/>
      <c r="N48" s="171"/>
      <c r="O48" s="171"/>
      <c r="P48" s="171"/>
      <c r="Q48" s="171"/>
      <c r="R48" s="171"/>
      <c r="S48" s="171"/>
      <c r="T48" s="101"/>
      <c r="U48" s="102"/>
      <c r="V48" s="20"/>
      <c r="W48" s="99"/>
      <c r="X48" s="91" t="str">
        <f>CONCATENATE(B6," per ",LOOKUP(BA6,BC9:BC32,BG9:BG32)," at 50% of VC")</f>
        <v>USD per sq m at 50% of VC</v>
      </c>
      <c r="Y48" s="91"/>
      <c r="Z48" s="91"/>
      <c r="AA48" s="91"/>
      <c r="AB48" s="91"/>
      <c r="AC48" s="91"/>
      <c r="AD48" s="91"/>
      <c r="AE48" s="91"/>
      <c r="AF48" s="91"/>
      <c r="AG48" s="91"/>
      <c r="AH48" s="91"/>
      <c r="AI48" s="92"/>
      <c r="AJ48" s="37" t="e">
        <f>IF($C$13&lt;&gt;1,(SUMPRODUCT($F$9:$F$18,$G$9:$G$18,AJ$9:AJ$18)+$G$19*AJ$19*AB34)*AJ$6*AK48,(SUMPRODUCT($F$9:$F$18,AJ$9:AJ$18)+AJ$19*AB34)*AJ$6*AB$42*AK48)</f>
        <v>#DIV/0!</v>
      </c>
      <c r="AK48" s="214">
        <f>LOOKUP(BA6,BC9:BC32,BI9:BI32)</f>
        <v>9.9999999999999995E-7</v>
      </c>
      <c r="AL48" s="20"/>
      <c r="AM48" s="92" t="str">
        <f>CONCATENATE(B6," per ",LOOKUP(BA6,BC9:BC32,BG9:BG32)," at 50% of VC")</f>
        <v>USD per sq m at 50% of VC</v>
      </c>
      <c r="AN48" s="92"/>
      <c r="AO48" s="184"/>
      <c r="AP48" s="184"/>
      <c r="AQ48" s="184"/>
      <c r="AR48" s="184"/>
      <c r="AS48" s="184"/>
      <c r="AT48" s="184"/>
      <c r="AU48" s="184"/>
      <c r="AV48" s="184"/>
      <c r="AW48" s="184"/>
      <c r="AX48" s="184"/>
      <c r="AY48" s="187" t="e">
        <f>IF($C$13&lt;&gt;1,(SUMPRODUCT($F$9:$F$18,$G$9:$G$18,AY$9:AY$18)+$G$19*AY$19*AZ34)*AY$6*AZ48,(SUMPRODUCT($F$9:$F$18,AY$9:AY$18)+AY$19*AZ34)*AY$6*AB$42*AZ48)</f>
        <v>#DIV/0!</v>
      </c>
      <c r="AZ48" s="6">
        <f>LOOKUP(BA6,BC9:BC32,BI9:BI32)</f>
        <v>9.9999999999999995E-7</v>
      </c>
      <c r="BA48" s="24"/>
      <c r="BB48" s="100"/>
      <c r="BC48" s="24"/>
      <c r="BD48" s="81"/>
      <c r="BE48" s="24"/>
      <c r="BF48" s="24"/>
      <c r="BG48" s="24"/>
      <c r="BH48" s="24"/>
      <c r="BI48" s="24"/>
      <c r="BJ48" s="318"/>
    </row>
    <row r="49" spans="1:62" ht="13.5" hidden="1" x14ac:dyDescent="0.25">
      <c r="A49" s="318"/>
      <c r="B49" s="7"/>
      <c r="C49" s="103"/>
      <c r="D49" s="103"/>
      <c r="E49" s="197"/>
      <c r="F49" s="197"/>
      <c r="G49" s="7"/>
      <c r="H49" s="7"/>
      <c r="I49" s="126"/>
      <c r="J49" s="89"/>
      <c r="K49" s="89"/>
      <c r="L49" s="89"/>
      <c r="M49" s="39"/>
      <c r="N49" s="39"/>
      <c r="O49" s="39"/>
      <c r="P49" s="39"/>
      <c r="Q49" s="39"/>
      <c r="R49" s="39"/>
      <c r="S49" s="39"/>
      <c r="T49" s="89"/>
      <c r="U49" s="89"/>
      <c r="V49" s="89"/>
      <c r="W49" s="90"/>
      <c r="X49" s="93" t="str">
        <f>CONCATENATE(B6," per ",LOOKUP(BA6,BC9:BC32,BG9:BG32)," at 0% of VC")</f>
        <v>USD per sq m at 0% of VC</v>
      </c>
      <c r="Y49" s="93"/>
      <c r="Z49" s="93"/>
      <c r="AA49" s="93"/>
      <c r="AB49" s="93"/>
      <c r="AC49" s="93"/>
      <c r="AD49" s="93"/>
      <c r="AE49" s="93"/>
      <c r="AF49" s="93"/>
      <c r="AG49" s="93"/>
      <c r="AH49" s="93"/>
      <c r="AI49" s="94"/>
      <c r="AJ49" s="37" t="e">
        <f>IF($C$13&lt;&gt;1,(SUMPRODUCT($F$9:$F$18,$G$9:$G$18,AJ$9:AJ$18)+$G$19*AJ$19*AB35)*AJ$6*AK49,(SUMPRODUCT($F$9:$F$18,AJ$9:AJ$18)+AJ$19*AB35)*AJ$6*AB$42*AK49)</f>
        <v>#DIV/0!</v>
      </c>
      <c r="AK49" s="4">
        <f>LOOKUP(BA6,BC9:BC32,BI9:BI32)</f>
        <v>9.9999999999999995E-7</v>
      </c>
      <c r="AL49" s="89"/>
      <c r="AM49" s="94" t="str">
        <f>CONCATENATE(B6," per ",LOOKUP(BA6,BC9:BC32,BG9:BG32)," at 0% of VC")</f>
        <v>USD per sq m at 0% of VC</v>
      </c>
      <c r="AN49" s="94"/>
      <c r="AO49" s="186"/>
      <c r="AP49" s="186"/>
      <c r="AQ49" s="186"/>
      <c r="AR49" s="186"/>
      <c r="AS49" s="186"/>
      <c r="AT49" s="186"/>
      <c r="AU49" s="186"/>
      <c r="AV49" s="186"/>
      <c r="AW49" s="186"/>
      <c r="AX49" s="186"/>
      <c r="AY49" s="187" t="e">
        <f>IF($C$13&lt;&gt;1,(SUMPRODUCT($F$9:$F$18,$G$9:$G$18,AY$9:AY$18)+$G$19*AY$19*AZ35)*AY$6*AZ49,(SUMPRODUCT($F$9:$F$18,AY$9:AY$18)+AY$19*AZ35)*AY$6*AB$42*AZ49)</f>
        <v>#DIV/0!</v>
      </c>
      <c r="AZ49" s="6">
        <f>LOOKUP(BA6,BC9:BC32,BI9:BI32)</f>
        <v>9.9999999999999995E-7</v>
      </c>
      <c r="BA49" s="24"/>
      <c r="BB49" s="100"/>
      <c r="BC49" s="24"/>
      <c r="BD49" s="81"/>
      <c r="BE49" s="24"/>
      <c r="BF49" s="24"/>
      <c r="BG49" s="24"/>
      <c r="BH49" s="24"/>
      <c r="BI49" s="24"/>
      <c r="BJ49" s="318"/>
    </row>
    <row r="50" spans="1:62" ht="13.5" hidden="1" x14ac:dyDescent="0.25">
      <c r="A50" s="318"/>
      <c r="B50" s="7"/>
      <c r="C50" s="103"/>
      <c r="D50" s="103"/>
      <c r="E50" s="197"/>
      <c r="F50" s="197"/>
      <c r="G50" s="7"/>
      <c r="H50" s="7"/>
      <c r="I50" s="126"/>
      <c r="J50" s="7"/>
      <c r="K50" s="7"/>
      <c r="L50" s="7"/>
      <c r="M50" s="39"/>
      <c r="N50" s="39"/>
      <c r="O50" s="39"/>
      <c r="P50" s="39"/>
      <c r="Q50" s="39"/>
      <c r="R50" s="39"/>
      <c r="S50" s="39"/>
      <c r="T50" s="7"/>
      <c r="U50" s="7"/>
      <c r="V50" s="7"/>
      <c r="W50" s="7"/>
      <c r="X50" s="7"/>
      <c r="Y50" s="7"/>
      <c r="Z50" s="7"/>
      <c r="AA50" s="7"/>
      <c r="AB50" s="7"/>
      <c r="AC50" s="7"/>
      <c r="AD50" s="7"/>
      <c r="AE50" s="7"/>
      <c r="AF50" s="7"/>
      <c r="AG50" s="7"/>
      <c r="AH50" s="7"/>
      <c r="AI50" s="7"/>
      <c r="AJ50" s="7"/>
      <c r="AK50" s="7"/>
      <c r="AL50" s="7"/>
      <c r="AM50" s="7"/>
      <c r="AN50" s="7"/>
      <c r="AO50" s="125"/>
      <c r="AP50" s="125"/>
      <c r="AQ50" s="125"/>
      <c r="AR50" s="125"/>
      <c r="AS50" s="125"/>
      <c r="AT50" s="125"/>
      <c r="AU50" s="125"/>
      <c r="AV50" s="125"/>
      <c r="AW50" s="125"/>
      <c r="AX50" s="125"/>
      <c r="AY50" s="125"/>
      <c r="AZ50" s="28"/>
      <c r="BA50" s="24"/>
      <c r="BB50" s="24"/>
      <c r="BC50" s="24"/>
      <c r="BD50" s="24"/>
      <c r="BE50" s="24"/>
      <c r="BF50" s="24"/>
      <c r="BG50" s="24"/>
      <c r="BH50" s="24"/>
      <c r="BI50" s="24"/>
      <c r="BJ50" s="318"/>
    </row>
    <row r="51" spans="1:62" ht="13.5" hidden="1" x14ac:dyDescent="0.25">
      <c r="A51" s="318"/>
      <c r="B51" s="7"/>
      <c r="C51" s="7"/>
      <c r="D51" s="7"/>
      <c r="E51" s="197"/>
      <c r="F51" s="197"/>
      <c r="G51" s="7"/>
      <c r="H51" s="7"/>
      <c r="I51" s="126"/>
      <c r="J51" s="7"/>
      <c r="K51" s="7"/>
      <c r="L51" s="7"/>
      <c r="M51" s="39"/>
      <c r="N51" s="39"/>
      <c r="O51" s="39"/>
      <c r="P51" s="39"/>
      <c r="Q51" s="39"/>
      <c r="R51" s="39"/>
      <c r="S51" s="39"/>
      <c r="T51" s="7"/>
      <c r="U51" s="7"/>
      <c r="V51" s="7"/>
      <c r="W51" s="7"/>
      <c r="X51" s="70" t="str">
        <f>CONCATENATE(B6," per ",LOOKUP(BA6,BC9:BC32,BG9:BG32)," CREATED vs. ",I5)</f>
        <v>USD per sq m CREATED vs. REFERENCE</v>
      </c>
      <c r="Y51" s="70"/>
      <c r="Z51" s="70"/>
      <c r="AA51" s="70"/>
      <c r="AB51" s="70"/>
      <c r="AC51" s="70"/>
      <c r="AD51" s="70"/>
      <c r="AE51" s="70"/>
      <c r="AF51" s="70"/>
      <c r="AG51" s="70"/>
      <c r="AH51" s="70"/>
      <c r="AI51" s="69"/>
      <c r="AJ51" s="91"/>
      <c r="AK51" s="7"/>
      <c r="AL51" s="7"/>
      <c r="AM51" s="69" t="str">
        <f>CONCATENATE(B6," per ",LOOKUP(BA6,BC9:BC32,BG9:BG32)," CREATED vs. ",I5)</f>
        <v>USD per sq m CREATED vs. REFERENCE</v>
      </c>
      <c r="AN51" s="69"/>
      <c r="AO51" s="180"/>
      <c r="AP51" s="180"/>
      <c r="AQ51" s="180"/>
      <c r="AR51" s="180"/>
      <c r="AS51" s="180"/>
      <c r="AT51" s="180"/>
      <c r="AU51" s="180"/>
      <c r="AV51" s="180"/>
      <c r="AW51" s="180"/>
      <c r="AX51" s="180"/>
      <c r="AY51" s="181"/>
      <c r="AZ51" s="28"/>
      <c r="BA51" s="24"/>
      <c r="BB51" s="24"/>
      <c r="BC51" s="24"/>
      <c r="BD51" s="24"/>
      <c r="BE51" s="24"/>
      <c r="BF51" s="24"/>
      <c r="BG51" s="24"/>
      <c r="BH51" s="24"/>
      <c r="BI51" s="24"/>
      <c r="BJ51" s="318"/>
    </row>
    <row r="52" spans="1:62" ht="13.5" hidden="1" x14ac:dyDescent="0.25">
      <c r="A52" s="318"/>
      <c r="B52" s="7"/>
      <c r="C52" s="7"/>
      <c r="D52" s="7"/>
      <c r="E52" s="197"/>
      <c r="F52" s="197"/>
      <c r="G52" s="7"/>
      <c r="H52" s="7"/>
      <c r="I52" s="126"/>
      <c r="J52" s="7"/>
      <c r="K52" s="7"/>
      <c r="L52" s="7"/>
      <c r="M52" s="39"/>
      <c r="N52" s="39"/>
      <c r="O52" s="39"/>
      <c r="P52" s="39"/>
      <c r="Q52" s="39"/>
      <c r="R52" s="39"/>
      <c r="S52" s="39"/>
      <c r="T52" s="7"/>
      <c r="U52" s="7"/>
      <c r="V52" s="7"/>
      <c r="W52" s="7"/>
      <c r="X52" s="91" t="s">
        <v>48</v>
      </c>
      <c r="Y52" s="91"/>
      <c r="Z52" s="91"/>
      <c r="AA52" s="91"/>
      <c r="AB52" s="91"/>
      <c r="AC52" s="91"/>
      <c r="AD52" s="91"/>
      <c r="AE52" s="91"/>
      <c r="AF52" s="91"/>
      <c r="AG52" s="91"/>
      <c r="AH52" s="91"/>
      <c r="AI52" s="92"/>
      <c r="AJ52" s="37" t="e">
        <f>ABS($AJ47-AJ47)</f>
        <v>#DIV/0!</v>
      </c>
      <c r="AK52" s="7"/>
      <c r="AL52" s="7"/>
      <c r="AM52" s="92" t="s">
        <v>48</v>
      </c>
      <c r="AN52" s="92"/>
      <c r="AO52" s="184"/>
      <c r="AP52" s="184"/>
      <c r="AQ52" s="184"/>
      <c r="AR52" s="184"/>
      <c r="AS52" s="184"/>
      <c r="AT52" s="184"/>
      <c r="AU52" s="184"/>
      <c r="AV52" s="184"/>
      <c r="AW52" s="184"/>
      <c r="AX52" s="184"/>
      <c r="AY52" s="187" t="e">
        <f>AY$47-AY47</f>
        <v>#DIV/0!</v>
      </c>
      <c r="AZ52" s="28"/>
      <c r="BA52" s="24"/>
      <c r="BB52" s="24"/>
      <c r="BC52" s="24"/>
      <c r="BD52" s="24"/>
      <c r="BE52" s="24"/>
      <c r="BF52" s="24"/>
      <c r="BG52" s="24"/>
      <c r="BH52" s="24"/>
      <c r="BI52" s="24"/>
      <c r="BJ52" s="318"/>
    </row>
    <row r="53" spans="1:62" ht="13.5" hidden="1" x14ac:dyDescent="0.25">
      <c r="A53" s="318"/>
      <c r="B53" s="7"/>
      <c r="C53" s="7"/>
      <c r="D53" s="7"/>
      <c r="E53" s="197"/>
      <c r="F53" s="197"/>
      <c r="G53" s="7"/>
      <c r="H53" s="7"/>
      <c r="I53" s="126"/>
      <c r="J53" s="7"/>
      <c r="K53" s="7"/>
      <c r="L53" s="7"/>
      <c r="M53" s="39"/>
      <c r="N53" s="39"/>
      <c r="O53" s="39"/>
      <c r="P53" s="39"/>
      <c r="Q53" s="39"/>
      <c r="R53" s="39"/>
      <c r="S53" s="39"/>
      <c r="T53" s="7"/>
      <c r="U53" s="7"/>
      <c r="V53" s="7"/>
      <c r="W53" s="7"/>
      <c r="X53" s="91" t="s">
        <v>49</v>
      </c>
      <c r="Y53" s="91"/>
      <c r="Z53" s="91"/>
      <c r="AA53" s="91"/>
      <c r="AB53" s="91"/>
      <c r="AC53" s="91"/>
      <c r="AD53" s="91"/>
      <c r="AE53" s="91"/>
      <c r="AF53" s="91"/>
      <c r="AG53" s="91"/>
      <c r="AH53" s="91"/>
      <c r="AI53" s="92"/>
      <c r="AJ53" s="37" t="e">
        <f>AVERAGE(AJ54,AJ52)</f>
        <v>#DIV/0!</v>
      </c>
      <c r="AK53" s="7"/>
      <c r="AL53" s="7"/>
      <c r="AM53" s="92" t="s">
        <v>49</v>
      </c>
      <c r="AN53" s="92"/>
      <c r="AO53" s="184"/>
      <c r="AP53" s="184"/>
      <c r="AQ53" s="184"/>
      <c r="AR53" s="184"/>
      <c r="AS53" s="184"/>
      <c r="AT53" s="184"/>
      <c r="AU53" s="184"/>
      <c r="AV53" s="184"/>
      <c r="AW53" s="184"/>
      <c r="AX53" s="184"/>
      <c r="AY53" s="187" t="e">
        <f>AY$47-AY48</f>
        <v>#DIV/0!</v>
      </c>
      <c r="AZ53" s="28"/>
      <c r="BA53" s="24"/>
      <c r="BB53" s="24"/>
      <c r="BC53" s="24"/>
      <c r="BD53" s="104"/>
      <c r="BE53" s="24"/>
      <c r="BF53" s="24"/>
      <c r="BG53" s="24"/>
      <c r="BH53" s="24"/>
      <c r="BI53" s="24"/>
      <c r="BJ53" s="318"/>
    </row>
    <row r="54" spans="1:62" ht="13.5" hidden="1" x14ac:dyDescent="0.25">
      <c r="A54" s="318"/>
      <c r="B54" s="7"/>
      <c r="C54" s="7"/>
      <c r="D54" s="7"/>
      <c r="E54" s="197"/>
      <c r="F54" s="197"/>
      <c r="G54" s="7"/>
      <c r="H54" s="7"/>
      <c r="I54" s="126"/>
      <c r="J54" s="7"/>
      <c r="K54" s="7"/>
      <c r="L54" s="7"/>
      <c r="M54" s="39"/>
      <c r="N54" s="39"/>
      <c r="O54" s="39"/>
      <c r="P54" s="39"/>
      <c r="Q54" s="39"/>
      <c r="R54" s="39"/>
      <c r="S54" s="39"/>
      <c r="T54" s="7"/>
      <c r="U54" s="7"/>
      <c r="V54" s="7"/>
      <c r="W54" s="7"/>
      <c r="X54" s="93" t="s">
        <v>50</v>
      </c>
      <c r="Y54" s="93"/>
      <c r="Z54" s="93"/>
      <c r="AA54" s="93"/>
      <c r="AB54" s="93"/>
      <c r="AC54" s="93"/>
      <c r="AD54" s="93"/>
      <c r="AE54" s="93"/>
      <c r="AF54" s="93"/>
      <c r="AG54" s="93"/>
      <c r="AH54" s="93"/>
      <c r="AI54" s="94"/>
      <c r="AJ54" s="37" t="e">
        <f>ABS($AJ47-AJ49)</f>
        <v>#DIV/0!</v>
      </c>
      <c r="AK54" s="7"/>
      <c r="AL54" s="7"/>
      <c r="AM54" s="94" t="s">
        <v>50</v>
      </c>
      <c r="AN54" s="94"/>
      <c r="AO54" s="186"/>
      <c r="AP54" s="186"/>
      <c r="AQ54" s="186"/>
      <c r="AR54" s="186"/>
      <c r="AS54" s="186"/>
      <c r="AT54" s="186"/>
      <c r="AU54" s="186"/>
      <c r="AV54" s="186"/>
      <c r="AW54" s="186"/>
      <c r="AX54" s="186"/>
      <c r="AY54" s="187" t="e">
        <f>AY$47-AY49</f>
        <v>#DIV/0!</v>
      </c>
      <c r="AZ54" s="28"/>
      <c r="BA54" s="24"/>
      <c r="BB54" s="24"/>
      <c r="BC54" s="24"/>
      <c r="BD54" s="24"/>
      <c r="BE54" s="24"/>
      <c r="BF54" s="24"/>
      <c r="BG54" s="24"/>
      <c r="BH54" s="24"/>
      <c r="BI54" s="24"/>
      <c r="BJ54" s="318"/>
    </row>
    <row r="55" spans="1:62" ht="3" customHeight="1" x14ac:dyDescent="0.25">
      <c r="A55" s="10"/>
      <c r="B55" s="1"/>
      <c r="C55" s="1"/>
      <c r="D55" s="105"/>
      <c r="E55" s="105"/>
      <c r="F55" s="105"/>
      <c r="G55" s="105"/>
      <c r="H55" s="11"/>
      <c r="I55" s="11"/>
      <c r="J55" s="11"/>
      <c r="K55" s="11"/>
      <c r="L55" s="11"/>
      <c r="M55" s="11"/>
      <c r="N55" s="11"/>
      <c r="O55" s="11"/>
      <c r="P55" s="11"/>
      <c r="Q55" s="11"/>
      <c r="R55" s="11"/>
      <c r="S55" s="11"/>
      <c r="T55" s="11"/>
      <c r="U55" s="11"/>
      <c r="V55" s="7"/>
      <c r="W55" s="11"/>
      <c r="X55" s="11"/>
      <c r="Y55" s="11"/>
      <c r="Z55" s="11"/>
      <c r="AA55" s="11"/>
      <c r="AB55" s="11"/>
      <c r="AC55" s="11"/>
      <c r="AD55" s="11"/>
      <c r="AE55" s="11"/>
      <c r="AF55" s="11"/>
      <c r="AG55" s="11"/>
      <c r="AH55" s="11"/>
      <c r="AI55" s="11"/>
      <c r="AJ55" s="11"/>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11"/>
    </row>
    <row r="56" spans="1:62" ht="15.75" x14ac:dyDescent="0.2">
      <c r="A56" s="241" t="s">
        <v>98</v>
      </c>
      <c r="B56" s="242"/>
      <c r="C56" s="8"/>
      <c r="D56" s="8"/>
      <c r="E56" s="8"/>
      <c r="F56" s="8"/>
      <c r="G56" s="8"/>
      <c r="H56" s="8"/>
      <c r="I56" s="8"/>
      <c r="J56" s="8"/>
      <c r="K56" s="8"/>
      <c r="L56" s="8"/>
      <c r="M56" s="8"/>
      <c r="N56" s="8"/>
      <c r="O56" s="8"/>
      <c r="P56" s="8"/>
      <c r="Q56" s="8"/>
      <c r="R56" s="8"/>
      <c r="S56" s="8"/>
      <c r="T56" s="8"/>
      <c r="U56" s="8"/>
      <c r="V56" s="8"/>
      <c r="W56" s="243"/>
      <c r="X56" s="8"/>
      <c r="Y56" s="8"/>
      <c r="Z56" s="8"/>
      <c r="AA56" s="8"/>
      <c r="AB56" s="8"/>
      <c r="AC56" s="8"/>
      <c r="AD56" s="8"/>
      <c r="AE56" s="8"/>
      <c r="AF56" s="8"/>
      <c r="AG56" s="8"/>
      <c r="AH56" s="8"/>
      <c r="AI56" s="8"/>
      <c r="AJ56" s="8"/>
      <c r="AK56" s="227"/>
      <c r="AL56" s="227"/>
      <c r="AM56" s="227"/>
      <c r="AN56" s="227"/>
      <c r="AO56" s="8"/>
      <c r="AP56" s="8"/>
      <c r="AQ56" s="8"/>
      <c r="AR56" s="8"/>
      <c r="AS56" s="8"/>
      <c r="AT56" s="8"/>
      <c r="AU56" s="8"/>
      <c r="AV56" s="8"/>
      <c r="AW56" s="8"/>
      <c r="AX56" s="8"/>
      <c r="AY56" s="8"/>
      <c r="AZ56" s="8"/>
      <c r="BA56" s="8"/>
      <c r="BB56" s="8"/>
      <c r="BC56" s="8"/>
      <c r="BD56" s="8"/>
      <c r="BE56" s="8"/>
      <c r="BF56" s="8"/>
      <c r="BG56" s="8"/>
      <c r="BH56" s="8"/>
      <c r="BI56" s="8"/>
      <c r="BJ56" s="8"/>
    </row>
    <row r="57" spans="1:62" ht="3" customHeight="1" x14ac:dyDescent="0.25">
      <c r="A57" s="106"/>
      <c r="B57" s="107"/>
      <c r="C57" s="107"/>
      <c r="D57" s="107"/>
      <c r="E57" s="107"/>
      <c r="F57" s="107"/>
      <c r="G57" s="107"/>
      <c r="H57" s="108"/>
      <c r="I57" s="107"/>
      <c r="J57" s="107"/>
      <c r="K57" s="107"/>
      <c r="L57" s="107"/>
      <c r="M57" s="107"/>
      <c r="N57" s="107"/>
      <c r="O57" s="107"/>
      <c r="P57" s="107"/>
      <c r="Q57" s="107"/>
      <c r="R57" s="107"/>
      <c r="S57" s="107"/>
      <c r="T57" s="107"/>
      <c r="U57" s="107"/>
      <c r="V57" s="7"/>
      <c r="W57" s="107"/>
      <c r="X57" s="107"/>
      <c r="Y57" s="107"/>
      <c r="Z57" s="107"/>
      <c r="AA57" s="107"/>
      <c r="AB57" s="107"/>
      <c r="AC57" s="107"/>
      <c r="AD57" s="107"/>
      <c r="AE57" s="107"/>
      <c r="AF57" s="107"/>
      <c r="AG57" s="107"/>
      <c r="AH57" s="107"/>
      <c r="AI57" s="107"/>
      <c r="AJ57" s="107"/>
      <c r="AK57" s="7"/>
      <c r="AL57" s="7"/>
      <c r="AM57" s="7"/>
      <c r="AN57" s="7"/>
      <c r="AO57" s="7"/>
      <c r="AP57" s="7"/>
      <c r="AQ57" s="7"/>
      <c r="AR57" s="7"/>
      <c r="AS57" s="7"/>
      <c r="AT57" s="7"/>
      <c r="AU57" s="7"/>
      <c r="AV57" s="7"/>
      <c r="AW57" s="7"/>
      <c r="AX57" s="7"/>
      <c r="AY57" s="7"/>
      <c r="AZ57" s="90"/>
      <c r="BA57" s="99"/>
      <c r="BB57" s="99"/>
      <c r="BC57" s="99"/>
      <c r="BD57" s="99"/>
      <c r="BE57" s="99"/>
      <c r="BF57" s="99"/>
      <c r="BG57" s="99"/>
      <c r="BH57" s="99"/>
      <c r="BI57" s="99"/>
      <c r="BJ57" s="108"/>
    </row>
    <row r="58" spans="1:62" ht="13.5" x14ac:dyDescent="0.25">
      <c r="A58" s="313" t="s">
        <v>61</v>
      </c>
      <c r="B58" s="109" t="str">
        <f>CONCATENATE("POTENTIAL ",M105," BENEFITS of ",X5,"  vs. ",I5)</f>
        <v>POTENTIAL MUSD pa BENEFITS of ALTERNATIVE  vs. REFERENCE</v>
      </c>
      <c r="C58" s="111"/>
      <c r="D58" s="110"/>
      <c r="E58" s="110"/>
      <c r="F58" s="110"/>
      <c r="G58" s="110"/>
      <c r="H58" s="111"/>
      <c r="I58" s="111"/>
      <c r="J58" s="112"/>
      <c r="K58" s="113"/>
      <c r="L58" s="113"/>
      <c r="M58" s="110"/>
      <c r="N58" s="110"/>
      <c r="O58" s="110"/>
      <c r="P58" s="110"/>
      <c r="Q58" s="110"/>
      <c r="R58" s="110"/>
      <c r="S58" s="110"/>
      <c r="T58" s="110"/>
      <c r="U58" s="110"/>
      <c r="V58" s="99"/>
      <c r="W58" s="114" t="str">
        <f>CONCATENATE("POTENTIAL ",M105," BENEFITS of ",X5,"  vs. ",I5)</f>
        <v>POTENTIAL MUSD pa BENEFITS of ALTERNATIVE  vs. REFERENCE</v>
      </c>
      <c r="X58" s="114"/>
      <c r="Y58" s="114"/>
      <c r="Z58" s="114"/>
      <c r="AA58" s="114"/>
      <c r="AB58" s="114"/>
      <c r="AC58" s="114"/>
      <c r="AD58" s="114"/>
      <c r="AE58" s="114"/>
      <c r="AF58" s="114"/>
      <c r="AG58" s="114"/>
      <c r="AH58" s="114"/>
      <c r="AI58" s="114"/>
      <c r="AJ58" s="114"/>
      <c r="AK58" s="115"/>
      <c r="AL58" s="7"/>
      <c r="AM58" s="115"/>
      <c r="AN58" s="115"/>
      <c r="AO58" s="115"/>
      <c r="AP58" s="115"/>
      <c r="AQ58" s="115"/>
      <c r="AR58" s="115"/>
      <c r="AS58" s="115"/>
      <c r="AT58" s="115"/>
      <c r="AU58" s="115"/>
      <c r="AV58" s="115"/>
      <c r="AW58" s="115"/>
      <c r="AX58" s="115"/>
      <c r="AY58" s="115"/>
      <c r="AZ58" s="20"/>
      <c r="BA58" s="7"/>
      <c r="BB58" s="7"/>
      <c r="BC58" s="7"/>
      <c r="BD58" s="7"/>
      <c r="BE58" s="7"/>
      <c r="BF58" s="7"/>
      <c r="BG58" s="7"/>
      <c r="BH58" s="7"/>
      <c r="BI58" s="7"/>
      <c r="BJ58" s="313" t="s">
        <v>61</v>
      </c>
    </row>
    <row r="59" spans="1:62" ht="3" customHeight="1" x14ac:dyDescent="0.25">
      <c r="A59" s="314"/>
      <c r="B59" s="107"/>
      <c r="C59" s="116"/>
      <c r="D59" s="116"/>
      <c r="E59" s="116"/>
      <c r="F59" s="116"/>
      <c r="G59" s="116"/>
      <c r="H59" s="116"/>
      <c r="I59" s="116"/>
      <c r="J59" s="116"/>
      <c r="K59" s="116"/>
      <c r="L59" s="108"/>
      <c r="M59" s="116"/>
      <c r="N59" s="116"/>
      <c r="O59" s="116"/>
      <c r="P59" s="116"/>
      <c r="Q59" s="116"/>
      <c r="R59" s="116"/>
      <c r="S59" s="116"/>
      <c r="T59" s="116"/>
      <c r="U59" s="116"/>
      <c r="V59" s="99"/>
      <c r="W59" s="108"/>
      <c r="X59" s="108"/>
      <c r="Y59" s="108"/>
      <c r="Z59" s="108"/>
      <c r="AA59" s="108"/>
      <c r="AB59" s="108"/>
      <c r="AC59" s="108"/>
      <c r="AD59" s="108"/>
      <c r="AE59" s="108"/>
      <c r="AF59" s="108"/>
      <c r="AG59" s="108"/>
      <c r="AH59" s="108"/>
      <c r="AI59" s="108"/>
      <c r="AJ59" s="108"/>
      <c r="AK59" s="99"/>
      <c r="AL59" s="7"/>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314"/>
    </row>
    <row r="60" spans="1:62" ht="13.5" x14ac:dyDescent="0.25">
      <c r="A60" s="314"/>
      <c r="B60" s="194" t="str">
        <f>CONCATENATE("CONVERTER SELLS @ CONSTANT ",F8)</f>
        <v>CONVERTER SELLS @ CONSTANT USD/TON</v>
      </c>
      <c r="C60" s="117"/>
      <c r="D60" s="117"/>
      <c r="E60" s="118"/>
      <c r="F60" s="111"/>
      <c r="G60" s="111"/>
      <c r="H60" s="119"/>
      <c r="I60" s="120" t="s">
        <v>96</v>
      </c>
      <c r="J60" s="121">
        <f>ROUND(M24,2)</f>
        <v>1500</v>
      </c>
      <c r="K60" s="229" t="str">
        <f>CONCATENATE(F8," =")</f>
        <v>USD/TON =</v>
      </c>
      <c r="L60" s="121">
        <f>ROUND(Z41*(M24/Z44)*(1-AB26)*(AB42/Z42),3)</f>
        <v>110.13500000000001</v>
      </c>
      <c r="M60" s="235" t="str">
        <f>X41</f>
        <v>USD per 1000 sq m</v>
      </c>
      <c r="N60" s="235"/>
      <c r="O60" s="116"/>
      <c r="P60" s="116"/>
      <c r="Q60" s="116"/>
      <c r="R60" s="116"/>
      <c r="S60" s="116"/>
      <c r="T60" s="116"/>
      <c r="U60" s="219"/>
      <c r="V60" s="220"/>
      <c r="W60" s="221"/>
      <c r="X60" s="221" t="str">
        <f>B62</f>
        <v>CONVERTER BENEFITS - ON 1KT BUSINESS</v>
      </c>
      <c r="Y60" s="222" t="str">
        <f>B69</f>
        <v>DOWNSTREAM PLAYERS BENEFITS - BUYING SAME sq m</v>
      </c>
      <c r="Z60" s="245"/>
      <c r="AA60" s="222"/>
      <c r="AB60" s="222"/>
      <c r="AC60" s="222"/>
      <c r="AD60" s="222"/>
      <c r="AE60" s="222"/>
      <c r="AF60" s="123"/>
      <c r="AG60" s="123"/>
      <c r="AH60" s="123"/>
      <c r="AI60" s="123"/>
      <c r="AJ60" s="123"/>
      <c r="AK60" s="7"/>
      <c r="AL60" s="7"/>
      <c r="AM60" s="7"/>
      <c r="AN60" s="7"/>
      <c r="AO60" s="124"/>
      <c r="AP60" s="124"/>
      <c r="AQ60" s="124"/>
      <c r="AR60" s="124"/>
      <c r="AS60" s="124"/>
      <c r="AT60" s="124"/>
      <c r="AU60" s="124"/>
      <c r="AV60" s="124"/>
      <c r="AW60" s="124"/>
      <c r="AX60" s="124"/>
      <c r="AY60" s="124"/>
      <c r="AZ60" s="7"/>
      <c r="BA60" s="126"/>
      <c r="BB60" s="126"/>
      <c r="BC60" s="126"/>
      <c r="BD60" s="126"/>
      <c r="BE60" s="126"/>
      <c r="BF60" s="126"/>
      <c r="BG60" s="126"/>
      <c r="BH60" s="126"/>
      <c r="BI60" s="126"/>
      <c r="BJ60" s="314"/>
    </row>
    <row r="61" spans="1:62" ht="13.5" x14ac:dyDescent="0.25">
      <c r="A61" s="314"/>
      <c r="B61" s="83"/>
      <c r="C61" s="53"/>
      <c r="D61" s="53"/>
      <c r="E61" s="53"/>
      <c r="F61" s="53"/>
      <c r="G61" s="53"/>
      <c r="H61" s="83"/>
      <c r="I61" s="53"/>
      <c r="J61" s="129"/>
      <c r="K61" s="129"/>
      <c r="L61" s="130"/>
      <c r="M61" s="53"/>
      <c r="N61" s="158"/>
      <c r="O61" s="116"/>
      <c r="P61" s="116"/>
      <c r="Q61" s="116"/>
      <c r="R61" s="116"/>
      <c r="S61" s="116"/>
      <c r="T61" s="116"/>
      <c r="U61" s="219"/>
      <c r="V61" s="220"/>
      <c r="W61" s="223" t="str">
        <f>CONCATENATE(C107,B60," (",J60," ",K60," ",L60,M60,")")</f>
        <v>CONVERTER SELLS @ CONSTANT USD/TON (1500 USD/TON = 110.135USD per 1000 sq m)</v>
      </c>
      <c r="X61" s="224">
        <f>L67</f>
        <v>0</v>
      </c>
      <c r="Y61" s="225">
        <f>L73</f>
        <v>0.38100000000000001</v>
      </c>
      <c r="Z61" s="245"/>
      <c r="AA61" s="222"/>
      <c r="AB61" s="222"/>
      <c r="AC61" s="222"/>
      <c r="AD61" s="222"/>
      <c r="AE61" s="222"/>
      <c r="AF61" s="123"/>
      <c r="AG61" s="123"/>
      <c r="AH61" s="123"/>
      <c r="AI61" s="123"/>
      <c r="AJ61" s="123"/>
      <c r="AK61" s="7"/>
      <c r="AL61" s="7"/>
      <c r="AM61" s="228"/>
      <c r="AN61" s="228"/>
      <c r="AO61" s="124"/>
      <c r="AP61" s="124"/>
      <c r="AQ61" s="124"/>
      <c r="AR61" s="124"/>
      <c r="AS61" s="124"/>
      <c r="AT61" s="124"/>
      <c r="AU61" s="124"/>
      <c r="AV61" s="124"/>
      <c r="AW61" s="124"/>
      <c r="AX61" s="124"/>
      <c r="AY61" s="124"/>
      <c r="AZ61" s="7"/>
      <c r="BA61" s="126"/>
      <c r="BB61" s="126"/>
      <c r="BC61" s="126"/>
      <c r="BD61" s="126"/>
      <c r="BE61" s="126"/>
      <c r="BF61" s="126"/>
      <c r="BG61" s="126"/>
      <c r="BH61" s="126"/>
      <c r="BI61" s="126"/>
      <c r="BJ61" s="314"/>
    </row>
    <row r="62" spans="1:62" ht="13.5" x14ac:dyDescent="0.25">
      <c r="A62" s="314"/>
      <c r="B62" s="131" t="str">
        <f>CONCATENATE("CONVERTER BENEFITS - ON ",ROUND(AB23,2),N22," BUSINESS")</f>
        <v>CONVERTER BENEFITS - ON 1KT BUSINESS</v>
      </c>
      <c r="C62" s="53"/>
      <c r="D62" s="53"/>
      <c r="E62" s="53"/>
      <c r="F62" s="53"/>
      <c r="G62" s="53"/>
      <c r="H62" s="83"/>
      <c r="I62" s="53"/>
      <c r="J62" s="129"/>
      <c r="K62" s="129"/>
      <c r="L62" s="53"/>
      <c r="O62" s="116"/>
      <c r="P62" s="116"/>
      <c r="Q62" s="116"/>
      <c r="R62" s="116"/>
      <c r="S62" s="116"/>
      <c r="T62" s="116"/>
      <c r="U62" s="219"/>
      <c r="V62" s="220"/>
      <c r="W62" s="223" t="str">
        <f>CONCATENATE(C107,B76," (",J76," ",K76," ",L76,M76,")")</f>
        <v>CONVERTER SELLS @ CONSTANT USD per 1000 sq m (137.534 USD per 1000 sq m = 1873.16USD/TON)</v>
      </c>
      <c r="X62" s="224">
        <f>L83</f>
        <v>0.373</v>
      </c>
      <c r="Y62" s="225">
        <f>L89</f>
        <v>0</v>
      </c>
      <c r="Z62" s="245"/>
      <c r="AA62" s="222"/>
      <c r="AB62" s="222"/>
      <c r="AC62" s="222"/>
      <c r="AD62" s="222"/>
      <c r="AE62" s="222"/>
      <c r="AF62" s="123"/>
      <c r="AG62" s="123"/>
      <c r="AH62" s="123"/>
      <c r="AI62" s="123"/>
      <c r="AJ62" s="123"/>
      <c r="AK62" s="7"/>
      <c r="AL62" s="7"/>
      <c r="AM62" s="228"/>
      <c r="AN62" s="228"/>
      <c r="AO62" s="124"/>
      <c r="AP62" s="124"/>
      <c r="AQ62" s="124"/>
      <c r="AR62" s="124"/>
      <c r="AS62" s="124"/>
      <c r="AT62" s="124"/>
      <c r="AU62" s="124"/>
      <c r="AV62" s="124"/>
      <c r="AW62" s="124"/>
      <c r="AX62" s="124"/>
      <c r="AY62" s="124"/>
      <c r="AZ62" s="7"/>
      <c r="BA62" s="126"/>
      <c r="BB62" s="126"/>
      <c r="BC62" s="126"/>
      <c r="BD62" s="126"/>
      <c r="BE62" s="126"/>
      <c r="BF62" s="126"/>
      <c r="BG62" s="126"/>
      <c r="BH62" s="126"/>
      <c r="BI62" s="126"/>
      <c r="BJ62" s="314"/>
    </row>
    <row r="63" spans="1:62" ht="13.5" x14ac:dyDescent="0.25">
      <c r="A63" s="314"/>
      <c r="B63" s="53" t="s">
        <v>57</v>
      </c>
      <c r="C63" s="53"/>
      <c r="D63" s="53"/>
      <c r="E63" s="162">
        <f>(AB23*J60)/(M22*J60)-1</f>
        <v>0</v>
      </c>
      <c r="F63" s="168" t="str">
        <f>IF(L63&lt;&gt;0,IF(L63&lt;0,"DECREASE","INCREASE"),"UNCHANGED")</f>
        <v>UNCHANGED</v>
      </c>
      <c r="G63" s="12"/>
      <c r="H63" s="83"/>
      <c r="I63" s="53"/>
      <c r="J63" s="129"/>
      <c r="K63" s="132" t="str">
        <f>CONCATENATE("( ",ROUND(AJ45,2),N22," + ",ROUND((AB23-AJ45),2),N22," ) * ",ROUND(J60,2),X44," - ",Z45,N22," * ",ROUND(J60,2),X44," =")</f>
        <v>( 0.8KT + 0.2KT ) * 1500USD/TON - 1KT * 1500USD/TON =</v>
      </c>
      <c r="L63" s="133">
        <f>ROUND((AB23*J60-M22*J60)/LOOKUP(1,J28:J30,L28:L30),3)</f>
        <v>0</v>
      </c>
      <c r="M63" s="158" t="str">
        <f>CONCATENATE(LOOKUP(1,J28:J30,M28:M30)," pa")</f>
        <v>MUSD pa</v>
      </c>
      <c r="N63" s="161" t="str">
        <f>IF(L63&lt;&gt;0,IF(L63&lt;0,"LOSS","GAIN"),"")</f>
        <v/>
      </c>
      <c r="O63" s="116"/>
      <c r="P63" s="116"/>
      <c r="Q63" s="116"/>
      <c r="R63" s="116"/>
      <c r="S63" s="116"/>
      <c r="T63" s="116"/>
      <c r="U63" s="219"/>
      <c r="V63" s="220"/>
      <c r="W63" s="223" t="str">
        <f>CONCATENATE(C107,B92," (",J92," ",K92," ",L92,M92,")")</f>
        <v>CONVERTER SELLS @ TARGET PRICE (2000 USD/TON = 146.847USD per 1000 sq m)</v>
      </c>
      <c r="X63" s="224">
        <f>L99</f>
        <v>0.5</v>
      </c>
      <c r="Y63" s="225">
        <f>L105</f>
        <v>-0.12994520547945204</v>
      </c>
      <c r="Z63" s="245"/>
      <c r="AA63" s="222"/>
      <c r="AB63" s="222"/>
      <c r="AC63" s="222"/>
      <c r="AD63" s="222"/>
      <c r="AE63" s="222"/>
      <c r="AF63" s="123"/>
      <c r="AG63" s="123"/>
      <c r="AH63" s="123"/>
      <c r="AI63" s="123"/>
      <c r="AJ63" s="123"/>
      <c r="AK63" s="7"/>
      <c r="AL63" s="7"/>
      <c r="AM63" s="228"/>
      <c r="AN63" s="228"/>
      <c r="AO63" s="124"/>
      <c r="AP63" s="124"/>
      <c r="AQ63" s="124"/>
      <c r="AR63" s="124"/>
      <c r="AS63" s="124"/>
      <c r="AT63" s="124"/>
      <c r="AU63" s="124"/>
      <c r="AV63" s="124"/>
      <c r="AW63" s="124"/>
      <c r="AX63" s="124"/>
      <c r="AY63" s="124"/>
      <c r="AZ63" s="7"/>
      <c r="BA63" s="126"/>
      <c r="BB63" s="126"/>
      <c r="BC63" s="126"/>
      <c r="BD63" s="126"/>
      <c r="BE63" s="126"/>
      <c r="BF63" s="126"/>
      <c r="BG63" s="126"/>
      <c r="BH63" s="126"/>
      <c r="BI63" s="126"/>
      <c r="BJ63" s="314"/>
    </row>
    <row r="64" spans="1:62" ht="13.5" x14ac:dyDescent="0.25">
      <c r="A64" s="314"/>
      <c r="B64" s="53" t="s">
        <v>55</v>
      </c>
      <c r="C64" s="53"/>
      <c r="D64" s="53"/>
      <c r="E64" s="162">
        <f>(AB23*AB44)/(M22*Z44)-1</f>
        <v>0</v>
      </c>
      <c r="F64" s="168" t="str">
        <f>IF(L64&lt;&gt;0,IF(L64&lt;0,"INCREASE","DECREASE"),"UNCHANGED")</f>
        <v>UNCHANGED</v>
      </c>
      <c r="G64" s="12"/>
      <c r="H64" s="83"/>
      <c r="I64" s="53"/>
      <c r="J64" s="128"/>
      <c r="K64" s="132" t="str">
        <f>CONCATENATE(ROUND(Z45,2),N22," * ",ROUND(Z44,2),X44," - ","( ",ROUND(AJ45,2),N22," + ",ROUND((AB23-AJ45),2),N22," ) * ",ROUND(AB44,2),X44," =")</f>
        <v>1KT * 1000USD/TON - ( 0.8KT + 0.2KT ) * 1000USD/TON =</v>
      </c>
      <c r="L64" s="134">
        <f>ROUND((M22*Z44-AB23*AB44)/LOOKUP(1,J28:J30,L28:L30),3)</f>
        <v>0</v>
      </c>
      <c r="M64" s="158" t="str">
        <f>CONCATENATE(LOOKUP(1,J28:J30,M28:M30)," pa")</f>
        <v>MUSD pa</v>
      </c>
      <c r="N64" s="161" t="str">
        <f>IF(L64&lt;&gt;0,IF(L64&lt;0,"LOSS","GAIN"),"")</f>
        <v/>
      </c>
      <c r="O64" s="116"/>
      <c r="P64" s="116"/>
      <c r="Q64" s="116"/>
      <c r="R64" s="116"/>
      <c r="S64" s="116"/>
      <c r="T64" s="116"/>
      <c r="U64" s="219"/>
      <c r="V64" s="220"/>
      <c r="W64" s="244"/>
      <c r="X64" s="245"/>
      <c r="Y64" s="245"/>
      <c r="Z64" s="245"/>
      <c r="AA64" s="222"/>
      <c r="AB64" s="222"/>
      <c r="AC64" s="222"/>
      <c r="AD64" s="222"/>
      <c r="AE64" s="222"/>
      <c r="AF64" s="123"/>
      <c r="AG64" s="123"/>
      <c r="AH64" s="123"/>
      <c r="AI64" s="123"/>
      <c r="AJ64" s="123"/>
      <c r="AK64" s="7"/>
      <c r="AL64" s="7"/>
      <c r="AM64" s="7"/>
      <c r="AN64" s="7"/>
      <c r="AO64" s="124"/>
      <c r="AP64" s="124"/>
      <c r="AQ64" s="124"/>
      <c r="AR64" s="124"/>
      <c r="AS64" s="124"/>
      <c r="AT64" s="124"/>
      <c r="AU64" s="124"/>
      <c r="AV64" s="124"/>
      <c r="AW64" s="124"/>
      <c r="AX64" s="124"/>
      <c r="AY64" s="124"/>
      <c r="AZ64" s="7"/>
      <c r="BA64" s="126"/>
      <c r="BB64" s="126"/>
      <c r="BC64" s="126"/>
      <c r="BD64" s="126"/>
      <c r="BE64" s="126"/>
      <c r="BF64" s="126"/>
      <c r="BG64" s="126"/>
      <c r="BH64" s="126"/>
      <c r="BI64" s="126"/>
      <c r="BJ64" s="314"/>
    </row>
    <row r="65" spans="1:62" ht="13.5" x14ac:dyDescent="0.25">
      <c r="A65" s="314"/>
      <c r="B65" s="53" t="s">
        <v>56</v>
      </c>
      <c r="C65" s="53"/>
      <c r="D65" s="53"/>
      <c r="E65" s="162">
        <f>IF(M26&lt;&gt;0,(AB23*AB44)/(M22*Z44)-1,"")</f>
        <v>0</v>
      </c>
      <c r="F65" s="168" t="str">
        <f>IF(L65&lt;&gt;0,IF(L65&lt;0,"INCREASE","DECREASE"),"UNCHANGED")</f>
        <v>UNCHANGED</v>
      </c>
      <c r="G65" s="12"/>
      <c r="H65" s="83"/>
      <c r="I65" s="53"/>
      <c r="J65" s="128"/>
      <c r="K65" s="132" t="str">
        <f>CONCATENATE(M26,"/365 * [",Z45,N22,"*",ROUND(Z44,2),X44,"-","(",ROUND(AJ45,2),N22,"+",ROUND((AB23-AJ45),2),N22,")*",ROUND(AB44,2),X44,"] =")</f>
        <v>100/365 * [1KT*1000USD/TON-(0.8KT+0.2KT)*1000USD/TON] =</v>
      </c>
      <c r="L65" s="134">
        <f>ROUND(M26/365*(L64),10)</f>
        <v>0</v>
      </c>
      <c r="M65" s="158" t="str">
        <f>CONCATENATE(LOOKUP(1,J28:J30,M28:M30)," pa")</f>
        <v>MUSD pa</v>
      </c>
      <c r="N65" s="161" t="str">
        <f>IF(L65&lt;&gt;0,IF(L65&lt;0,"LOSS","GAIN"),"")</f>
        <v/>
      </c>
      <c r="O65" s="116"/>
      <c r="P65" s="116"/>
      <c r="Q65" s="116"/>
      <c r="R65" s="116"/>
      <c r="S65" s="116"/>
      <c r="T65" s="116"/>
      <c r="U65" s="219"/>
      <c r="V65" s="220"/>
      <c r="W65" s="221"/>
      <c r="X65" s="222"/>
      <c r="Y65" s="222"/>
      <c r="Z65" s="222"/>
      <c r="AA65" s="222"/>
      <c r="AB65" s="222"/>
      <c r="AC65" s="222"/>
      <c r="AD65" s="222"/>
      <c r="AE65" s="222"/>
      <c r="AF65" s="123"/>
      <c r="AG65" s="123"/>
      <c r="AH65" s="123"/>
      <c r="AI65" s="123"/>
      <c r="AJ65" s="123"/>
      <c r="AK65" s="7"/>
      <c r="AL65" s="7"/>
      <c r="AM65" s="7"/>
      <c r="AN65" s="7"/>
      <c r="AO65" s="124"/>
      <c r="AP65" s="124"/>
      <c r="AQ65" s="124"/>
      <c r="AR65" s="124"/>
      <c r="AS65" s="124"/>
      <c r="AT65" s="124"/>
      <c r="AU65" s="124"/>
      <c r="AV65" s="124"/>
      <c r="AW65" s="124"/>
      <c r="AX65" s="124"/>
      <c r="AY65" s="124"/>
      <c r="AZ65" s="7"/>
      <c r="BA65" s="126"/>
      <c r="BB65" s="126"/>
      <c r="BC65" s="126"/>
      <c r="BD65" s="126"/>
      <c r="BE65" s="126"/>
      <c r="BF65" s="126"/>
      <c r="BG65" s="126"/>
      <c r="BH65" s="126"/>
      <c r="BI65" s="126"/>
      <c r="BJ65" s="314"/>
    </row>
    <row r="66" spans="1:62" ht="13.5" x14ac:dyDescent="0.25">
      <c r="A66" s="314"/>
      <c r="B66" s="130" t="s">
        <v>60</v>
      </c>
      <c r="C66" s="53"/>
      <c r="D66" s="53"/>
      <c r="E66" s="163">
        <f>AB23/M22-1</f>
        <v>0</v>
      </c>
      <c r="F66" s="168" t="str">
        <f>IF(L66&lt;&gt;0,IF(L66&lt;0,"INCREASE","DECREASE"),"UNCHANGED")</f>
        <v>UNCHANGED</v>
      </c>
      <c r="G66" s="83"/>
      <c r="H66" s="83"/>
      <c r="I66" s="53"/>
      <c r="J66" s="128"/>
      <c r="K66" s="132" t="str">
        <f>CONCATENATE(M27,N27," * ( ",M22,N22," - ",ROUND(AB23,2),N22," ) =")</f>
        <v>50USD/TON * ( 1KT - 1KT ) =</v>
      </c>
      <c r="L66" s="122">
        <f>ROUND((M22-AB23)*M27/LOOKUP(1,J28:J30,L28:L30),3)</f>
        <v>0</v>
      </c>
      <c r="M66" s="159" t="str">
        <f>CONCATENATE(LOOKUP(1,J28:J30,M28:M30)," pa")</f>
        <v>MUSD pa</v>
      </c>
      <c r="N66" s="161" t="str">
        <f>IF(L66&lt;&gt;0,IF(L66&lt;0,"LOSS","GAIN"),"")</f>
        <v/>
      </c>
      <c r="O66" s="116"/>
      <c r="P66" s="116"/>
      <c r="Q66" s="116"/>
      <c r="R66" s="116"/>
      <c r="S66" s="116"/>
      <c r="T66" s="116"/>
      <c r="U66" s="219"/>
      <c r="V66" s="220"/>
      <c r="W66" s="221"/>
      <c r="X66" s="222"/>
      <c r="Y66" s="222"/>
      <c r="Z66" s="222"/>
      <c r="AA66" s="222"/>
      <c r="AB66" s="222"/>
      <c r="AC66" s="222"/>
      <c r="AD66" s="222"/>
      <c r="AE66" s="222"/>
      <c r="AF66" s="123"/>
      <c r="AG66" s="123"/>
      <c r="AH66" s="123"/>
      <c r="AI66" s="123"/>
      <c r="AJ66" s="123"/>
      <c r="AK66" s="7"/>
      <c r="AL66" s="7"/>
      <c r="AM66" s="7"/>
      <c r="AN66" s="7"/>
      <c r="AO66" s="124"/>
      <c r="AP66" s="124"/>
      <c r="AQ66" s="124"/>
      <c r="AR66" s="124"/>
      <c r="AS66" s="124"/>
      <c r="AT66" s="124"/>
      <c r="AU66" s="124"/>
      <c r="AV66" s="124"/>
      <c r="AW66" s="124"/>
      <c r="AX66" s="124"/>
      <c r="AY66" s="124"/>
      <c r="AZ66" s="7"/>
      <c r="BA66" s="126"/>
      <c r="BB66" s="126"/>
      <c r="BC66" s="126"/>
      <c r="BD66" s="126"/>
      <c r="BE66" s="126"/>
      <c r="BF66" s="126"/>
      <c r="BG66" s="126"/>
      <c r="BH66" s="126"/>
      <c r="BI66" s="126"/>
      <c r="BJ66" s="314"/>
    </row>
    <row r="67" spans="1:62" ht="13.5" x14ac:dyDescent="0.25">
      <c r="A67" s="314"/>
      <c r="B67" s="117"/>
      <c r="C67" s="53"/>
      <c r="D67" s="117"/>
      <c r="E67" s="162"/>
      <c r="F67" s="158"/>
      <c r="G67" s="12"/>
      <c r="H67" s="83"/>
      <c r="I67" s="53"/>
      <c r="J67" s="130"/>
      <c r="K67" s="117" t="s">
        <v>77</v>
      </c>
      <c r="L67" s="134">
        <f>SUM(L63:L66)</f>
        <v>0</v>
      </c>
      <c r="M67" s="158" t="str">
        <f>CONCATENATE(LOOKUP(1,J28:J30,M28:M30)," pa")</f>
        <v>MUSD pa</v>
      </c>
      <c r="N67" s="162" t="str">
        <f>IF(L67&lt;&gt;0,IF(L67&lt;0,"LOSS","GAIN"),"")</f>
        <v/>
      </c>
      <c r="O67" s="116"/>
      <c r="P67" s="116"/>
      <c r="Q67" s="116"/>
      <c r="R67" s="116"/>
      <c r="S67" s="116"/>
      <c r="T67" s="116"/>
      <c r="U67" s="219"/>
      <c r="V67" s="220"/>
      <c r="W67" s="221"/>
      <c r="X67" s="222"/>
      <c r="Y67" s="222"/>
      <c r="Z67" s="222"/>
      <c r="AA67" s="222"/>
      <c r="AB67" s="222"/>
      <c r="AC67" s="222"/>
      <c r="AD67" s="222"/>
      <c r="AE67" s="222"/>
      <c r="AF67" s="123"/>
      <c r="AG67" s="123"/>
      <c r="AH67" s="123"/>
      <c r="AI67" s="123"/>
      <c r="AJ67" s="123"/>
      <c r="AK67" s="124"/>
      <c r="AL67" s="124"/>
      <c r="AM67" s="124"/>
      <c r="AN67" s="124"/>
      <c r="AO67" s="124"/>
      <c r="AP67" s="124"/>
      <c r="AQ67" s="124"/>
      <c r="AR67" s="124"/>
      <c r="AS67" s="124"/>
      <c r="AT67" s="124"/>
      <c r="AU67" s="124"/>
      <c r="AV67" s="124"/>
      <c r="AW67" s="124"/>
      <c r="AX67" s="124"/>
      <c r="AY67" s="124"/>
      <c r="AZ67" s="7"/>
      <c r="BA67" s="126"/>
      <c r="BB67" s="126"/>
      <c r="BC67" s="126"/>
      <c r="BD67" s="126"/>
      <c r="BE67" s="126"/>
      <c r="BF67" s="126"/>
      <c r="BG67" s="126"/>
      <c r="BH67" s="126"/>
      <c r="BI67" s="126"/>
      <c r="BJ67" s="314"/>
    </row>
    <row r="68" spans="1:62" ht="13.5" x14ac:dyDescent="0.25">
      <c r="A68" s="314"/>
      <c r="B68" s="130"/>
      <c r="C68" s="53"/>
      <c r="D68" s="130"/>
      <c r="E68" s="130"/>
      <c r="F68" s="130"/>
      <c r="G68" s="12"/>
      <c r="H68" s="83"/>
      <c r="I68" s="53"/>
      <c r="J68" s="128"/>
      <c r="K68" s="128"/>
      <c r="L68" s="130"/>
      <c r="M68" s="130"/>
      <c r="N68" s="159"/>
      <c r="O68" s="116"/>
      <c r="P68" s="116"/>
      <c r="Q68" s="116"/>
      <c r="R68" s="116"/>
      <c r="S68" s="116"/>
      <c r="T68" s="116"/>
      <c r="U68" s="219"/>
      <c r="V68" s="220"/>
      <c r="W68" s="221"/>
      <c r="X68" s="222"/>
      <c r="Y68" s="222"/>
      <c r="Z68" s="222"/>
      <c r="AA68" s="222"/>
      <c r="AB68" s="222"/>
      <c r="AC68" s="222"/>
      <c r="AD68" s="222"/>
      <c r="AE68" s="222"/>
      <c r="AF68" s="123"/>
      <c r="AG68" s="123"/>
      <c r="AH68" s="123"/>
      <c r="AI68" s="123"/>
      <c r="AJ68" s="123"/>
      <c r="AK68" s="124"/>
      <c r="AL68" s="124"/>
      <c r="AM68" s="124"/>
      <c r="AN68" s="124"/>
      <c r="AO68" s="124"/>
      <c r="AP68" s="124"/>
      <c r="AQ68" s="124"/>
      <c r="AR68" s="124"/>
      <c r="AS68" s="124"/>
      <c r="AT68" s="124"/>
      <c r="AU68" s="124"/>
      <c r="AV68" s="124"/>
      <c r="AW68" s="124"/>
      <c r="AX68" s="124"/>
      <c r="AY68" s="124"/>
      <c r="AZ68" s="7"/>
      <c r="BA68" s="126"/>
      <c r="BB68" s="126"/>
      <c r="BC68" s="126"/>
      <c r="BD68" s="126"/>
      <c r="BE68" s="126"/>
      <c r="BF68" s="126"/>
      <c r="BG68" s="126"/>
      <c r="BH68" s="126"/>
      <c r="BI68" s="126"/>
      <c r="BJ68" s="314"/>
    </row>
    <row r="69" spans="1:62" ht="13.5" x14ac:dyDescent="0.25">
      <c r="A69" s="314"/>
      <c r="B69" s="136" t="str">
        <f>CONCATENATE("DOWNSTREAM PLAYERS BENEFITS - BUYING SAME ",LOOKUP(BA6,BC9:BC32,BG9:BG32))</f>
        <v>DOWNSTREAM PLAYERS BENEFITS - BUYING SAME sq m</v>
      </c>
      <c r="C69" s="53"/>
      <c r="D69" s="137"/>
      <c r="E69" s="137"/>
      <c r="F69" s="137"/>
      <c r="G69" s="12"/>
      <c r="H69" s="83"/>
      <c r="I69" s="53"/>
      <c r="J69" s="128"/>
      <c r="K69" s="128"/>
      <c r="L69" s="137"/>
      <c r="O69" s="116"/>
      <c r="P69" s="116"/>
      <c r="Q69" s="116"/>
      <c r="R69" s="116"/>
      <c r="S69" s="116"/>
      <c r="T69" s="116"/>
      <c r="U69" s="219"/>
      <c r="V69" s="220"/>
      <c r="W69" s="221"/>
      <c r="X69" s="222"/>
      <c r="Y69" s="222"/>
      <c r="Z69" s="222"/>
      <c r="AA69" s="222"/>
      <c r="AB69" s="222"/>
      <c r="AC69" s="222"/>
      <c r="AD69" s="222"/>
      <c r="AE69" s="222"/>
      <c r="AF69" s="123"/>
      <c r="AG69" s="123"/>
      <c r="AH69" s="123"/>
      <c r="AI69" s="123"/>
      <c r="AJ69" s="123"/>
      <c r="AK69" s="124"/>
      <c r="AL69" s="124"/>
      <c r="AM69" s="124"/>
      <c r="AN69" s="124"/>
      <c r="AO69" s="124"/>
      <c r="AP69" s="124"/>
      <c r="AQ69" s="124"/>
      <c r="AR69" s="124"/>
      <c r="AS69" s="124"/>
      <c r="AT69" s="124"/>
      <c r="AU69" s="124"/>
      <c r="AV69" s="124"/>
      <c r="AW69" s="124"/>
      <c r="AX69" s="124"/>
      <c r="AY69" s="124"/>
      <c r="AZ69" s="7"/>
      <c r="BA69" s="126"/>
      <c r="BB69" s="126"/>
      <c r="BC69" s="126"/>
      <c r="BD69" s="126"/>
      <c r="BE69" s="126"/>
      <c r="BF69" s="126"/>
      <c r="BG69" s="126"/>
      <c r="BH69" s="126"/>
      <c r="BI69" s="126"/>
      <c r="BJ69" s="314"/>
    </row>
    <row r="70" spans="1:62" ht="13.5" x14ac:dyDescent="0.25">
      <c r="A70" s="314"/>
      <c r="B70" s="130" t="s">
        <v>76</v>
      </c>
      <c r="C70" s="53"/>
      <c r="D70" s="130"/>
      <c r="E70" s="163">
        <f>AJ45/Z45-1</f>
        <v>-0.19921574010523901</v>
      </c>
      <c r="F70" s="168" t="str">
        <f>IF(L70&lt;&gt;0,IF(L70&lt;0,"INCREASE","DECREASE"),"UNCHANGED")</f>
        <v>DECREASE</v>
      </c>
      <c r="G70" s="12"/>
      <c r="H70" s="83"/>
      <c r="I70" s="53"/>
      <c r="J70" s="128"/>
      <c r="K70" s="132" t="str">
        <f>CONCATENATE("( ",ROUND(Z45,2),N22," - ",ROUND(AJ45,2),N22," ) * ",ROUND(J60,2),X44," =")</f>
        <v>( 1KT - 0.8KT ) * 1500USD/TON =</v>
      </c>
      <c r="L70" s="122">
        <f>ROUND((Z45*J60-AJ45*J60)/LOOKUP(1,J28:J30,L28:L30),3)</f>
        <v>0.29899999999999999</v>
      </c>
      <c r="M70" s="159" t="str">
        <f>CONCATENATE(LOOKUP(1,J28:J30,M28:M30)," pa")</f>
        <v>MUSD pa</v>
      </c>
      <c r="N70" s="161" t="str">
        <f>IF(L70&lt;&gt;0,IF(L70&lt;0,"LOSS","GAIN"),"")</f>
        <v>GAIN</v>
      </c>
      <c r="O70" s="116"/>
      <c r="P70" s="116"/>
      <c r="Q70" s="116"/>
      <c r="R70" s="116"/>
      <c r="S70" s="116"/>
      <c r="T70" s="116"/>
      <c r="U70" s="219"/>
      <c r="V70" s="220"/>
      <c r="W70" s="221"/>
      <c r="X70" s="222"/>
      <c r="Y70" s="222"/>
      <c r="Z70" s="222"/>
      <c r="AA70" s="222"/>
      <c r="AB70" s="222"/>
      <c r="AC70" s="222"/>
      <c r="AD70" s="222"/>
      <c r="AE70" s="222"/>
      <c r="AF70" s="123"/>
      <c r="AG70" s="123"/>
      <c r="AH70" s="123"/>
      <c r="AI70" s="123"/>
      <c r="AJ70" s="123"/>
      <c r="AK70" s="124"/>
      <c r="AL70" s="124"/>
      <c r="AM70" s="124"/>
      <c r="AN70" s="124"/>
      <c r="AO70" s="124"/>
      <c r="AP70" s="124"/>
      <c r="AQ70" s="124"/>
      <c r="AR70" s="124"/>
      <c r="AS70" s="124"/>
      <c r="AT70" s="124"/>
      <c r="AU70" s="124"/>
      <c r="AV70" s="124"/>
      <c r="AW70" s="124"/>
      <c r="AX70" s="124"/>
      <c r="AY70" s="124"/>
      <c r="AZ70" s="7"/>
      <c r="BA70" s="126"/>
      <c r="BB70" s="126"/>
      <c r="BC70" s="126"/>
      <c r="BD70" s="126"/>
      <c r="BE70" s="126"/>
      <c r="BF70" s="126"/>
      <c r="BG70" s="126"/>
      <c r="BH70" s="126"/>
      <c r="BI70" s="126"/>
      <c r="BJ70" s="314"/>
    </row>
    <row r="71" spans="1:62" ht="13.5" x14ac:dyDescent="0.25">
      <c r="A71" s="314"/>
      <c r="B71" s="130" t="s">
        <v>56</v>
      </c>
      <c r="C71" s="53"/>
      <c r="D71" s="130"/>
      <c r="E71" s="163">
        <f>IF(M26&lt;&gt;0,AJ45/Z45-1,"")</f>
        <v>-0.19921574010523901</v>
      </c>
      <c r="F71" s="168" t="str">
        <f>IF(L71&lt;&gt;0,IF(L71&lt;0,"INCREASE","DECREASE"),"UNCHANGED")</f>
        <v>DECREASE</v>
      </c>
      <c r="G71" s="12"/>
      <c r="H71" s="83"/>
      <c r="I71" s="53"/>
      <c r="J71" s="128"/>
      <c r="K71" s="132" t="str">
        <f>CONCATENATE(M26," / 365 * ","( ",ROUND(Z45,2),N22," - ",ROUND(AJ45,2),N22," ) * ",ROUND(J60,2),X44," =")</f>
        <v>100 / 365 * ( 1KT - 0.8KT ) * 1500USD/TON =</v>
      </c>
      <c r="L71" s="122">
        <f>ROUND(M26/365*(Z45*J60-AJ45*J60)/LOOKUP(1,J28:J30,L28:L30),3)</f>
        <v>8.2000000000000003E-2</v>
      </c>
      <c r="M71" s="159" t="str">
        <f>CONCATENATE(LOOKUP(1,J28:J30,M28:M30)," pa")</f>
        <v>MUSD pa</v>
      </c>
      <c r="N71" s="161" t="str">
        <f>IF(L71&lt;&gt;0,IF(L71&lt;0,"LOSS","GAIN"),"")</f>
        <v>GAIN</v>
      </c>
      <c r="O71" s="116"/>
      <c r="P71" s="116"/>
      <c r="Q71" s="116"/>
      <c r="R71" s="116"/>
      <c r="S71" s="116"/>
      <c r="T71" s="116"/>
      <c r="U71" s="219"/>
      <c r="V71" s="220"/>
      <c r="W71" s="221"/>
      <c r="X71" s="222"/>
      <c r="Y71" s="222"/>
      <c r="Z71" s="222"/>
      <c r="AA71" s="222"/>
      <c r="AB71" s="222"/>
      <c r="AC71" s="222"/>
      <c r="AD71" s="222"/>
      <c r="AE71" s="222"/>
      <c r="AF71" s="123"/>
      <c r="AG71" s="123"/>
      <c r="AH71" s="123"/>
      <c r="AI71" s="123"/>
      <c r="AJ71" s="123"/>
      <c r="AK71" s="124"/>
      <c r="AL71" s="124"/>
      <c r="AM71" s="124"/>
      <c r="AN71" s="124"/>
      <c r="AO71" s="124"/>
      <c r="AP71" s="124"/>
      <c r="AQ71" s="124"/>
      <c r="AR71" s="124"/>
      <c r="AS71" s="124"/>
      <c r="AT71" s="124"/>
      <c r="AU71" s="124"/>
      <c r="AV71" s="124"/>
      <c r="AW71" s="124"/>
      <c r="AX71" s="124"/>
      <c r="AY71" s="124"/>
      <c r="AZ71" s="7"/>
      <c r="BA71" s="126"/>
      <c r="BB71" s="126"/>
      <c r="BC71" s="126"/>
      <c r="BD71" s="126"/>
      <c r="BE71" s="126"/>
      <c r="BF71" s="126"/>
      <c r="BG71" s="126"/>
      <c r="BH71" s="126"/>
      <c r="BI71" s="126"/>
      <c r="BJ71" s="314"/>
    </row>
    <row r="72" spans="1:62" ht="13.5" x14ac:dyDescent="0.25">
      <c r="A72" s="314"/>
      <c r="B72" s="137" t="str">
        <f>IF(AB27&lt;&gt;100%,"UNIT VALUE ADD","")</f>
        <v/>
      </c>
      <c r="C72" s="53"/>
      <c r="D72" s="130"/>
      <c r="E72" s="163" t="str">
        <f>IF(AB27&lt;&gt;100%,(AB27-1),"")</f>
        <v/>
      </c>
      <c r="F72" s="168" t="str">
        <f>IF(AB27&lt;&gt;100%,IF(L72&lt;&gt;0,IF(L72&lt;0,"DECREASE","INCREASE"),"UNCHANGED"),"")</f>
        <v/>
      </c>
      <c r="G72" s="12"/>
      <c r="H72" s="83"/>
      <c r="I72" s="53"/>
      <c r="J72" s="128"/>
      <c r="K72" s="240" t="str">
        <f>IF(AB27&lt;&gt;100%,CONCATENATE("(",ROUND(AB27,2)*100,"% - ","100%) * ",ROUND(J60,2),X44," * ",ROUND(AJ45,2),AC23," ="),"")</f>
        <v/>
      </c>
      <c r="L72" s="122" t="str">
        <f>IF(AB27&lt;&gt;100%,ROUND(((AB27-1)*J60*AJ45)/LOOKUP(1,J28:J30,L28:L30),3),"")</f>
        <v/>
      </c>
      <c r="M72" s="159" t="str">
        <f>IF(AB27&lt;&gt;100%,CONCATENATE(LOOKUP(1,J28:J30,M28:M30)," pa"),"")</f>
        <v/>
      </c>
      <c r="N72" s="161" t="str">
        <f>IF(AB27&lt;&gt;100%,IF(L72&lt;&gt;0,IF(L72&lt;0,"LOSS","GAIN"),""),"")</f>
        <v/>
      </c>
      <c r="O72" s="116"/>
      <c r="P72" s="116"/>
      <c r="Q72" s="116"/>
      <c r="R72" s="116"/>
      <c r="S72" s="116"/>
      <c r="T72" s="116"/>
      <c r="U72" s="219"/>
      <c r="V72" s="220"/>
      <c r="W72" s="221"/>
      <c r="X72" s="222"/>
      <c r="Y72" s="222"/>
      <c r="Z72" s="222"/>
      <c r="AA72" s="222"/>
      <c r="AB72" s="222"/>
      <c r="AC72" s="222"/>
      <c r="AD72" s="222"/>
      <c r="AE72" s="222"/>
      <c r="AF72" s="123"/>
      <c r="AG72" s="123"/>
      <c r="AH72" s="123"/>
      <c r="AI72" s="123"/>
      <c r="AJ72" s="123"/>
      <c r="AK72" s="124"/>
      <c r="AL72" s="124"/>
      <c r="AM72" s="124"/>
      <c r="AN72" s="124"/>
      <c r="AO72" s="124"/>
      <c r="AP72" s="124"/>
      <c r="AQ72" s="124"/>
      <c r="AR72" s="124"/>
      <c r="AS72" s="124"/>
      <c r="AT72" s="124"/>
      <c r="AU72" s="124"/>
      <c r="AV72" s="124"/>
      <c r="AW72" s="124"/>
      <c r="AX72" s="124"/>
      <c r="AY72" s="124"/>
      <c r="AZ72" s="7"/>
      <c r="BA72" s="126"/>
      <c r="BB72" s="126"/>
      <c r="BC72" s="126"/>
      <c r="BD72" s="126"/>
      <c r="BE72" s="126"/>
      <c r="BF72" s="126"/>
      <c r="BG72" s="126"/>
      <c r="BH72" s="126"/>
      <c r="BI72" s="126"/>
      <c r="BJ72" s="314"/>
    </row>
    <row r="73" spans="1:62" ht="13.5" x14ac:dyDescent="0.25">
      <c r="A73" s="314"/>
      <c r="B73" s="117"/>
      <c r="C73" s="53"/>
      <c r="D73" s="117"/>
      <c r="E73" s="163"/>
      <c r="F73" s="158"/>
      <c r="G73" s="12"/>
      <c r="H73" s="83"/>
      <c r="I73" s="53"/>
      <c r="J73" s="130"/>
      <c r="K73" s="117" t="s">
        <v>77</v>
      </c>
      <c r="L73" s="134">
        <f>SUM(L70:L72)</f>
        <v>0.38100000000000001</v>
      </c>
      <c r="M73" s="158" t="str">
        <f>CONCATENATE(LOOKUP(1,J28:J30,M28:M30)," pa")</f>
        <v>MUSD pa</v>
      </c>
      <c r="N73" s="162" t="str">
        <f>IF(L73&lt;&gt;0,IF(L73&lt;0,"LOSS","GAIN"),"")</f>
        <v>GAIN</v>
      </c>
      <c r="O73" s="116"/>
      <c r="P73" s="116"/>
      <c r="Q73" s="116"/>
      <c r="R73" s="116"/>
      <c r="S73" s="116"/>
      <c r="T73" s="116"/>
      <c r="U73" s="219"/>
      <c r="V73" s="220"/>
      <c r="W73" s="221"/>
      <c r="X73" s="222"/>
      <c r="Y73" s="222"/>
      <c r="Z73" s="222"/>
      <c r="AA73" s="222"/>
      <c r="AB73" s="222"/>
      <c r="AC73" s="222"/>
      <c r="AD73" s="222"/>
      <c r="AE73" s="222"/>
      <c r="AF73" s="123"/>
      <c r="AG73" s="123"/>
      <c r="AH73" s="123"/>
      <c r="AI73" s="123"/>
      <c r="AJ73" s="123"/>
      <c r="AK73" s="124"/>
      <c r="AL73" s="124"/>
      <c r="AM73" s="124"/>
      <c r="AN73" s="124"/>
      <c r="AO73" s="124"/>
      <c r="AP73" s="124"/>
      <c r="AQ73" s="124"/>
      <c r="AR73" s="124"/>
      <c r="AS73" s="124"/>
      <c r="AT73" s="124"/>
      <c r="AU73" s="124"/>
      <c r="AV73" s="124"/>
      <c r="AW73" s="124"/>
      <c r="AX73" s="124"/>
      <c r="AY73" s="124"/>
      <c r="AZ73" s="7"/>
      <c r="BA73" s="126"/>
      <c r="BB73" s="126"/>
      <c r="BC73" s="126"/>
      <c r="BD73" s="126"/>
      <c r="BE73" s="126"/>
      <c r="BF73" s="126"/>
      <c r="BG73" s="126"/>
      <c r="BH73" s="126"/>
      <c r="BI73" s="126"/>
      <c r="BJ73" s="314"/>
    </row>
    <row r="74" spans="1:62" ht="13.5" x14ac:dyDescent="0.25">
      <c r="A74" s="314"/>
      <c r="B74" s="130"/>
      <c r="C74" s="53"/>
      <c r="D74" s="130"/>
      <c r="E74" s="130"/>
      <c r="F74" s="130"/>
      <c r="G74" s="138"/>
      <c r="H74" s="83"/>
      <c r="I74" s="53"/>
      <c r="J74" s="128"/>
      <c r="K74" s="128"/>
      <c r="L74" s="122"/>
      <c r="M74" s="53"/>
      <c r="N74" s="53"/>
      <c r="O74" s="116"/>
      <c r="P74" s="116"/>
      <c r="Q74" s="116"/>
      <c r="R74" s="116"/>
      <c r="S74" s="116"/>
      <c r="T74" s="116"/>
      <c r="U74" s="219"/>
      <c r="V74" s="220"/>
      <c r="W74" s="221"/>
      <c r="X74" s="222"/>
      <c r="Y74" s="222"/>
      <c r="Z74" s="222"/>
      <c r="AA74" s="222"/>
      <c r="AB74" s="222"/>
      <c r="AC74" s="222"/>
      <c r="AD74" s="222"/>
      <c r="AE74" s="222"/>
      <c r="AF74" s="123"/>
      <c r="AG74" s="123"/>
      <c r="AH74" s="123"/>
      <c r="AI74" s="123"/>
      <c r="AJ74" s="123"/>
      <c r="AK74" s="124"/>
      <c r="AL74" s="124"/>
      <c r="AM74" s="124"/>
      <c r="AN74" s="124"/>
      <c r="AO74" s="124"/>
      <c r="AP74" s="124"/>
      <c r="AQ74" s="124"/>
      <c r="AR74" s="124"/>
      <c r="AS74" s="124"/>
      <c r="AT74" s="124"/>
      <c r="AU74" s="124"/>
      <c r="AV74" s="124"/>
      <c r="AW74" s="124"/>
      <c r="AX74" s="124"/>
      <c r="AY74" s="124"/>
      <c r="AZ74" s="7"/>
      <c r="BA74" s="126"/>
      <c r="BB74" s="126"/>
      <c r="BC74" s="126"/>
      <c r="BD74" s="126"/>
      <c r="BE74" s="126"/>
      <c r="BF74" s="126"/>
      <c r="BG74" s="126"/>
      <c r="BH74" s="126"/>
      <c r="BI74" s="126"/>
      <c r="BJ74" s="314"/>
    </row>
    <row r="75" spans="1:62" ht="3" customHeight="1" x14ac:dyDescent="0.25">
      <c r="A75" s="314"/>
      <c r="B75" s="116"/>
      <c r="C75" s="116"/>
      <c r="D75" s="116"/>
      <c r="E75" s="116"/>
      <c r="F75" s="116"/>
      <c r="G75" s="116"/>
      <c r="H75" s="116"/>
      <c r="I75" s="116"/>
      <c r="J75" s="127"/>
      <c r="K75" s="127"/>
      <c r="L75" s="116"/>
      <c r="M75" s="116"/>
      <c r="N75" s="116"/>
      <c r="O75" s="116"/>
      <c r="P75" s="116"/>
      <c r="Q75" s="116"/>
      <c r="R75" s="116"/>
      <c r="S75" s="116"/>
      <c r="T75" s="116"/>
      <c r="U75" s="219"/>
      <c r="V75" s="219"/>
      <c r="W75" s="219"/>
      <c r="X75" s="219"/>
      <c r="Y75" s="222"/>
      <c r="Z75" s="222"/>
      <c r="AA75" s="222"/>
      <c r="AB75" s="222"/>
      <c r="AC75" s="222"/>
      <c r="AD75" s="222"/>
      <c r="AE75" s="222"/>
      <c r="AF75" s="123"/>
      <c r="AG75" s="123"/>
      <c r="AH75" s="123"/>
      <c r="AI75" s="123"/>
      <c r="AJ75" s="123"/>
      <c r="AK75" s="124"/>
      <c r="AL75" s="124"/>
      <c r="AM75" s="124"/>
      <c r="AN75" s="124"/>
      <c r="AO75" s="124"/>
      <c r="AP75" s="124"/>
      <c r="AQ75" s="124"/>
      <c r="AR75" s="124"/>
      <c r="AS75" s="124"/>
      <c r="AT75" s="124"/>
      <c r="AU75" s="124"/>
      <c r="AV75" s="124"/>
      <c r="AW75" s="124"/>
      <c r="AX75" s="124"/>
      <c r="AY75" s="124"/>
      <c r="AZ75" s="7"/>
      <c r="BA75" s="126"/>
      <c r="BB75" s="126"/>
      <c r="BC75" s="126"/>
      <c r="BD75" s="126"/>
      <c r="BE75" s="126"/>
      <c r="BF75" s="126"/>
      <c r="BG75" s="126"/>
      <c r="BH75" s="126"/>
      <c r="BI75" s="126"/>
      <c r="BJ75" s="314"/>
    </row>
    <row r="76" spans="1:62" ht="13.5" x14ac:dyDescent="0.25">
      <c r="A76" s="314"/>
      <c r="B76" s="194" t="str">
        <f>CONCATENATE("CONVERTER SELLS @ ",IF(AB27&gt;1,"MAXIMUM ","CONSTANT "),X41)</f>
        <v>CONVERTER SELLS @ CONSTANT USD per 1000 sq m</v>
      </c>
      <c r="C76" s="195"/>
      <c r="D76" s="195"/>
      <c r="E76" s="137"/>
      <c r="F76" s="139"/>
      <c r="G76" s="139"/>
      <c r="H76" s="119"/>
      <c r="I76" s="120" t="str">
        <f>IF(AB27&lt;&gt;100%,CONCATENATE(ROUND(AB27*100,0),"% * ",ROUND(M25*100,0),"% * ",ROUND(Z41,0),X41," ="),CONCATENATE(ROUND(M25*100,0),"% * ",ROUND(Z41,0),X41," ="))</f>
        <v>150% * 92USD per 1000 sq m =</v>
      </c>
      <c r="J76" s="121">
        <f>ROUND(Z41*M25*AB27,3)</f>
        <v>137.53399999999999</v>
      </c>
      <c r="K76" s="139" t="str">
        <f>CONCATENATE(X41," =")</f>
        <v>USD per 1000 sq m =</v>
      </c>
      <c r="L76" s="121">
        <f>ROUND(J60/(1-AB26)*(Z42/AB42)*AB27,2)</f>
        <v>1873.16</v>
      </c>
      <c r="M76" s="235" t="str">
        <f>F8</f>
        <v>USD/TON</v>
      </c>
      <c r="N76" s="236"/>
      <c r="O76" s="116"/>
      <c r="P76" s="116"/>
      <c r="Q76" s="116"/>
      <c r="R76" s="116"/>
      <c r="S76" s="116"/>
      <c r="T76" s="116"/>
      <c r="U76" s="219"/>
      <c r="V76" s="220"/>
      <c r="W76" s="221"/>
      <c r="X76" s="222"/>
      <c r="Y76" s="222"/>
      <c r="Z76" s="222"/>
      <c r="AA76" s="222"/>
      <c r="AB76" s="222"/>
      <c r="AC76" s="222"/>
      <c r="AD76" s="222"/>
      <c r="AE76" s="222"/>
      <c r="AF76" s="123"/>
      <c r="AG76" s="123"/>
      <c r="AH76" s="123"/>
      <c r="AI76" s="123"/>
      <c r="AJ76" s="123"/>
      <c r="AK76" s="124"/>
      <c r="AL76" s="124"/>
      <c r="AM76" s="124"/>
      <c r="AN76" s="124"/>
      <c r="AO76" s="124"/>
      <c r="AP76" s="124"/>
      <c r="AQ76" s="124"/>
      <c r="AR76" s="124"/>
      <c r="AS76" s="124"/>
      <c r="AT76" s="124"/>
      <c r="AU76" s="124"/>
      <c r="AV76" s="124"/>
      <c r="AW76" s="124"/>
      <c r="AX76" s="124"/>
      <c r="AY76" s="124"/>
      <c r="AZ76" s="7"/>
      <c r="BA76" s="126"/>
      <c r="BB76" s="126"/>
      <c r="BC76" s="126"/>
      <c r="BD76" s="126"/>
      <c r="BE76" s="126"/>
      <c r="BF76" s="126"/>
      <c r="BG76" s="126"/>
      <c r="BH76" s="126"/>
      <c r="BI76" s="126"/>
      <c r="BJ76" s="314"/>
    </row>
    <row r="77" spans="1:62" ht="13.5" x14ac:dyDescent="0.25">
      <c r="A77" s="314"/>
      <c r="B77" s="83"/>
      <c r="C77" s="53"/>
      <c r="D77" s="53"/>
      <c r="E77" s="53"/>
      <c r="F77" s="53"/>
      <c r="G77" s="53"/>
      <c r="H77" s="83"/>
      <c r="I77" s="53"/>
      <c r="J77" s="128"/>
      <c r="K77" s="128"/>
      <c r="L77" s="130"/>
      <c r="M77" s="53"/>
      <c r="N77" s="53"/>
      <c r="O77" s="116"/>
      <c r="P77" s="116"/>
      <c r="Q77" s="116"/>
      <c r="R77" s="116"/>
      <c r="S77" s="116"/>
      <c r="T77" s="116"/>
      <c r="U77" s="219"/>
      <c r="V77" s="220"/>
      <c r="W77" s="221"/>
      <c r="X77" s="222"/>
      <c r="Y77" s="222"/>
      <c r="Z77" s="222"/>
      <c r="AA77" s="222"/>
      <c r="AB77" s="222"/>
      <c r="AC77" s="222"/>
      <c r="AD77" s="222"/>
      <c r="AE77" s="222"/>
      <c r="AF77" s="123"/>
      <c r="AG77" s="123"/>
      <c r="AH77" s="123"/>
      <c r="AI77" s="123"/>
      <c r="AJ77" s="123"/>
      <c r="AK77" s="124"/>
      <c r="AL77" s="124"/>
      <c r="AM77" s="124"/>
      <c r="AN77" s="124"/>
      <c r="AO77" s="124"/>
      <c r="AP77" s="124"/>
      <c r="AQ77" s="124"/>
      <c r="AR77" s="124"/>
      <c r="AS77" s="124"/>
      <c r="AT77" s="124"/>
      <c r="AU77" s="124"/>
      <c r="AV77" s="124"/>
      <c r="AW77" s="124"/>
      <c r="AX77" s="124"/>
      <c r="AY77" s="124"/>
      <c r="AZ77" s="7"/>
      <c r="BA77" s="126"/>
      <c r="BB77" s="126"/>
      <c r="BC77" s="126"/>
      <c r="BD77" s="126"/>
      <c r="BE77" s="126"/>
      <c r="BF77" s="126"/>
      <c r="BG77" s="126"/>
      <c r="BH77" s="126"/>
      <c r="BI77" s="126"/>
      <c r="BJ77" s="314"/>
    </row>
    <row r="78" spans="1:62" ht="13.5" x14ac:dyDescent="0.25">
      <c r="A78" s="314"/>
      <c r="B78" s="131" t="str">
        <f>CONCATENATE("CONVERTER BENEFITS - ON ",AB23,N22," BUSINESS")</f>
        <v>CONVERTER BENEFITS - ON 1KT BUSINESS</v>
      </c>
      <c r="C78" s="53"/>
      <c r="D78" s="53"/>
      <c r="E78" s="53"/>
      <c r="F78" s="53"/>
      <c r="G78" s="53"/>
      <c r="H78" s="83"/>
      <c r="I78" s="53"/>
      <c r="J78" s="128"/>
      <c r="K78" s="128"/>
      <c r="L78" s="53"/>
      <c r="O78" s="116"/>
      <c r="P78" s="116"/>
      <c r="Q78" s="116"/>
      <c r="R78" s="116"/>
      <c r="S78" s="116"/>
      <c r="T78" s="116"/>
      <c r="U78" s="219"/>
      <c r="V78" s="220"/>
      <c r="W78" s="221"/>
      <c r="X78" s="222"/>
      <c r="Y78" s="222"/>
      <c r="Z78" s="222"/>
      <c r="AA78" s="222"/>
      <c r="AB78" s="222"/>
      <c r="AC78" s="222"/>
      <c r="AD78" s="222"/>
      <c r="AE78" s="222"/>
      <c r="AF78" s="123"/>
      <c r="AG78" s="123"/>
      <c r="AH78" s="123"/>
      <c r="AI78" s="123"/>
      <c r="AJ78" s="123"/>
      <c r="AK78" s="124"/>
      <c r="AL78" s="124"/>
      <c r="AM78" s="124"/>
      <c r="AN78" s="124"/>
      <c r="AO78" s="124"/>
      <c r="AP78" s="124"/>
      <c r="AQ78" s="124"/>
      <c r="AR78" s="124"/>
      <c r="AS78" s="124"/>
      <c r="AT78" s="124"/>
      <c r="AU78" s="124"/>
      <c r="AV78" s="124"/>
      <c r="AW78" s="124"/>
      <c r="AX78" s="124"/>
      <c r="AY78" s="124"/>
      <c r="AZ78" s="7"/>
      <c r="BA78" s="126"/>
      <c r="BB78" s="126"/>
      <c r="BC78" s="126"/>
      <c r="BD78" s="126"/>
      <c r="BE78" s="126"/>
      <c r="BF78" s="126"/>
      <c r="BG78" s="126"/>
      <c r="BH78" s="126"/>
      <c r="BI78" s="126"/>
      <c r="BJ78" s="314"/>
    </row>
    <row r="79" spans="1:62" ht="13.5" x14ac:dyDescent="0.25">
      <c r="A79" s="314"/>
      <c r="B79" s="53" t="s">
        <v>57</v>
      </c>
      <c r="C79" s="53"/>
      <c r="D79" s="53"/>
      <c r="E79" s="162">
        <f>(AB23*L76)/(M22*J60)-1</f>
        <v>0.24877333333333329</v>
      </c>
      <c r="F79" s="168" t="str">
        <f>IF(L79&lt;&gt;0,IF(L79&lt;0,"DECREASE","INCREASE"),"UNCHANGED")</f>
        <v>INCREASE</v>
      </c>
      <c r="G79" s="12"/>
      <c r="H79" s="83"/>
      <c r="I79" s="53"/>
      <c r="J79" s="128"/>
      <c r="K79" s="132" t="str">
        <f>CONCATENATE("( ",ROUND(AJ45,2),N22," + ",ROUND((AB23-AJ45),2),N22," ) * ",ROUND(L76,2),X44," - ",ROUND(Z45,2),N22," * ",ROUND(J60,2),X44," =")</f>
        <v>( 0.8KT + 0.2KT ) * 1873.16USD/TON - 1KT * 1500USD/TON =</v>
      </c>
      <c r="L79" s="133">
        <f>ROUND((AB23*L76-M22*J60)/LOOKUP(1,J28:J30,L28:L30),3)</f>
        <v>0.373</v>
      </c>
      <c r="M79" s="158" t="str">
        <f>CONCATENATE(LOOKUP(1,J28:J30,M28:M30)," pa")</f>
        <v>MUSD pa</v>
      </c>
      <c r="N79" s="161" t="str">
        <f>IF(L79&lt;&gt;0,IF(L79&lt;0,"LOSS","GAIN"),"")</f>
        <v>GAIN</v>
      </c>
      <c r="O79" s="116"/>
      <c r="P79" s="116"/>
      <c r="Q79" s="116"/>
      <c r="R79" s="116"/>
      <c r="S79" s="116"/>
      <c r="T79" s="116"/>
      <c r="U79" s="219"/>
      <c r="V79" s="220"/>
      <c r="W79" s="221"/>
      <c r="X79" s="222"/>
      <c r="Y79" s="222"/>
      <c r="Z79" s="222"/>
      <c r="AA79" s="222"/>
      <c r="AB79" s="222"/>
      <c r="AC79" s="222"/>
      <c r="AD79" s="222"/>
      <c r="AE79" s="222"/>
      <c r="AF79" s="123"/>
      <c r="AG79" s="123"/>
      <c r="AH79" s="123"/>
      <c r="AI79" s="123"/>
      <c r="AJ79" s="123"/>
      <c r="AK79" s="124"/>
      <c r="AL79" s="124"/>
      <c r="AM79" s="124"/>
      <c r="AN79" s="124"/>
      <c r="AO79" s="124"/>
      <c r="AP79" s="124"/>
      <c r="AQ79" s="124"/>
      <c r="AR79" s="124"/>
      <c r="AS79" s="124"/>
      <c r="AT79" s="124"/>
      <c r="AU79" s="124"/>
      <c r="AV79" s="124"/>
      <c r="AW79" s="124"/>
      <c r="AX79" s="124"/>
      <c r="AY79" s="124"/>
      <c r="AZ79" s="7"/>
      <c r="BA79" s="126"/>
      <c r="BB79" s="126"/>
      <c r="BC79" s="126"/>
      <c r="BD79" s="126"/>
      <c r="BE79" s="126"/>
      <c r="BF79" s="126"/>
      <c r="BG79" s="126"/>
      <c r="BH79" s="126"/>
      <c r="BI79" s="126"/>
      <c r="BJ79" s="314"/>
    </row>
    <row r="80" spans="1:62" ht="13.5" x14ac:dyDescent="0.25">
      <c r="A80" s="314"/>
      <c r="B80" s="53" t="s">
        <v>55</v>
      </c>
      <c r="C80" s="53"/>
      <c r="D80" s="53"/>
      <c r="E80" s="162">
        <f>(AB23*AB44)/(M22*Z44)-1</f>
        <v>0</v>
      </c>
      <c r="F80" s="168" t="str">
        <f>IF(L80&lt;&gt;0,IF(L80&lt;0,"INCREASE","DECREASE"),"UNCHANGED")</f>
        <v>UNCHANGED</v>
      </c>
      <c r="G80" s="12"/>
      <c r="H80" s="83"/>
      <c r="I80" s="53"/>
      <c r="J80" s="128"/>
      <c r="K80" s="132" t="str">
        <f>CONCATENATE(ROUND(Z45,2),N22," * ",ROUND(Z44,2),X44," - ","( ",ROUND(AJ45,2),N22," + ",ROUND((AB23-AJ45),2),N22," ) * ",ROUND(AB44,2),X44," =")</f>
        <v>1KT * 1000USD/TON - ( 0.8KT + 0.2KT ) * 1000USD/TON =</v>
      </c>
      <c r="L80" s="134">
        <f>ROUND((M22*Z44-AB23*AB44)/LOOKUP(1,J28:J30,L28:L30),3)</f>
        <v>0</v>
      </c>
      <c r="M80" s="158" t="str">
        <f>CONCATENATE(LOOKUP(1,J28:J30,M28:M30)," pa")</f>
        <v>MUSD pa</v>
      </c>
      <c r="N80" s="161" t="str">
        <f>IF(L80&lt;&gt;0,IF(L80&lt;0,"LOSS","GAIN"),"")</f>
        <v/>
      </c>
      <c r="O80" s="116"/>
      <c r="P80" s="116"/>
      <c r="Q80" s="116"/>
      <c r="R80" s="116"/>
      <c r="S80" s="116"/>
      <c r="T80" s="116"/>
      <c r="U80" s="219"/>
      <c r="V80" s="220"/>
      <c r="W80" s="221"/>
      <c r="X80" s="222"/>
      <c r="Y80" s="222"/>
      <c r="Z80" s="222"/>
      <c r="AA80" s="222"/>
      <c r="AB80" s="222"/>
      <c r="AC80" s="222"/>
      <c r="AD80" s="222"/>
      <c r="AE80" s="222"/>
      <c r="AF80" s="123"/>
      <c r="AG80" s="123"/>
      <c r="AH80" s="123"/>
      <c r="AI80" s="123"/>
      <c r="AJ80" s="123"/>
      <c r="AK80" s="124"/>
      <c r="AL80" s="124"/>
      <c r="AM80" s="124"/>
      <c r="AN80" s="124"/>
      <c r="AO80" s="124"/>
      <c r="AP80" s="124"/>
      <c r="AQ80" s="124"/>
      <c r="AR80" s="124"/>
      <c r="AS80" s="124"/>
      <c r="AT80" s="124"/>
      <c r="AU80" s="124"/>
      <c r="AV80" s="124"/>
      <c r="AW80" s="124"/>
      <c r="AX80" s="124"/>
      <c r="AY80" s="124"/>
      <c r="AZ80" s="7"/>
      <c r="BA80" s="126"/>
      <c r="BB80" s="126"/>
      <c r="BC80" s="126"/>
      <c r="BD80" s="126"/>
      <c r="BE80" s="126"/>
      <c r="BF80" s="126"/>
      <c r="BG80" s="126"/>
      <c r="BH80" s="126"/>
      <c r="BI80" s="126"/>
      <c r="BJ80" s="314"/>
    </row>
    <row r="81" spans="1:62" ht="13.5" x14ac:dyDescent="0.25">
      <c r="A81" s="314"/>
      <c r="B81" s="53" t="s">
        <v>56</v>
      </c>
      <c r="C81" s="53"/>
      <c r="D81" s="53"/>
      <c r="E81" s="162">
        <f>IF(M26&lt;&gt;0,(AB23*AB44)/(M22*Z44)-1,"")</f>
        <v>0</v>
      </c>
      <c r="F81" s="168" t="str">
        <f>IF(L81&lt;&gt;0,IF(L81&lt;0,"INCREASE","DECREASE"),"UNCHANGED")</f>
        <v>UNCHANGED</v>
      </c>
      <c r="G81" s="12"/>
      <c r="H81" s="83"/>
      <c r="I81" s="53"/>
      <c r="J81" s="128"/>
      <c r="K81" s="132" t="str">
        <f>CONCATENATE(M26,"/365 * [",ROUND(Z45,2),N22,"*",ROUND(Z44,2),X44,"-","(",ROUND(AJ45,2),N22,"+",ROUND((AB23-AJ45),2),N22,")*",ROUND(AB44,2),X44,"] =")</f>
        <v>100/365 * [1KT*1000USD/TON-(0.8KT+0.2KT)*1000USD/TON] =</v>
      </c>
      <c r="L81" s="134">
        <f>ROUND(M26/365*(L80),10)</f>
        <v>0</v>
      </c>
      <c r="M81" s="158" t="str">
        <f>CONCATENATE(LOOKUP(1,J28:J30,M28:M30)," pa")</f>
        <v>MUSD pa</v>
      </c>
      <c r="N81" s="161" t="str">
        <f>IF(L81&lt;&gt;0,IF(L81&lt;0,"LOSS","GAIN"),"")</f>
        <v/>
      </c>
      <c r="O81" s="116"/>
      <c r="P81" s="116"/>
      <c r="Q81" s="116"/>
      <c r="R81" s="116"/>
      <c r="S81" s="116"/>
      <c r="T81" s="116"/>
      <c r="U81" s="219"/>
      <c r="V81" s="220"/>
      <c r="W81" s="221"/>
      <c r="X81" s="222"/>
      <c r="Y81" s="222"/>
      <c r="Z81" s="222"/>
      <c r="AA81" s="222"/>
      <c r="AB81" s="222"/>
      <c r="AC81" s="222"/>
      <c r="AD81" s="222"/>
      <c r="AE81" s="222"/>
      <c r="AF81" s="123"/>
      <c r="AG81" s="123"/>
      <c r="AH81" s="123"/>
      <c r="AI81" s="123"/>
      <c r="AJ81" s="123"/>
      <c r="AK81" s="124"/>
      <c r="AL81" s="124"/>
      <c r="AM81" s="124"/>
      <c r="AN81" s="124"/>
      <c r="AO81" s="124"/>
      <c r="AP81" s="124"/>
      <c r="AQ81" s="124"/>
      <c r="AR81" s="124"/>
      <c r="AS81" s="124"/>
      <c r="AT81" s="124"/>
      <c r="AU81" s="124"/>
      <c r="AV81" s="124"/>
      <c r="AW81" s="124"/>
      <c r="AX81" s="124"/>
      <c r="AY81" s="124"/>
      <c r="AZ81" s="7"/>
      <c r="BA81" s="126"/>
      <c r="BB81" s="126"/>
      <c r="BC81" s="126"/>
      <c r="BD81" s="126"/>
      <c r="BE81" s="126"/>
      <c r="BF81" s="126"/>
      <c r="BG81" s="126"/>
      <c r="BH81" s="126"/>
      <c r="BI81" s="126"/>
      <c r="BJ81" s="314"/>
    </row>
    <row r="82" spans="1:62" ht="13.5" x14ac:dyDescent="0.25">
      <c r="A82" s="314"/>
      <c r="B82" s="130" t="s">
        <v>60</v>
      </c>
      <c r="C82" s="53"/>
      <c r="D82" s="130"/>
      <c r="E82" s="163">
        <f>AB23/M22-1</f>
        <v>0</v>
      </c>
      <c r="F82" s="168" t="str">
        <f>IF(L82&lt;&gt;0,IF(L82&lt;0,"INCREASE","DECREASE"),"UNCHANGED")</f>
        <v>UNCHANGED</v>
      </c>
      <c r="G82" s="12"/>
      <c r="H82" s="83"/>
      <c r="I82" s="53"/>
      <c r="J82" s="128"/>
      <c r="K82" s="132" t="str">
        <f>CONCATENATE(M27,N27," * ( ",M22,N22," - ",AB23,N22," ) =")</f>
        <v>50USD/TON * ( 1KT - 1KT ) =</v>
      </c>
      <c r="L82" s="122">
        <f>ROUND((M22-AB23)*M27/LOOKUP(1,J28:J30,L28:L30),3)</f>
        <v>0</v>
      </c>
      <c r="M82" s="159" t="str">
        <f>CONCATENATE(LOOKUP(1,J28:J30,M28:M30)," pa")</f>
        <v>MUSD pa</v>
      </c>
      <c r="N82" s="161" t="str">
        <f>IF(L82&lt;&gt;0,IF(L82&lt;0,"LOSS","GAIN"),"")</f>
        <v/>
      </c>
      <c r="O82" s="116"/>
      <c r="P82" s="116"/>
      <c r="Q82" s="116"/>
      <c r="R82" s="116"/>
      <c r="S82" s="116"/>
      <c r="T82" s="116"/>
      <c r="U82" s="219"/>
      <c r="V82" s="220"/>
      <c r="W82" s="221"/>
      <c r="X82" s="222"/>
      <c r="Y82" s="222"/>
      <c r="Z82" s="222"/>
      <c r="AA82" s="222"/>
      <c r="AB82" s="222"/>
      <c r="AC82" s="222"/>
      <c r="AD82" s="222"/>
      <c r="AE82" s="222"/>
      <c r="AF82" s="123"/>
      <c r="AG82" s="123"/>
      <c r="AH82" s="123"/>
      <c r="AI82" s="123"/>
      <c r="AJ82" s="123"/>
      <c r="AK82" s="124"/>
      <c r="AL82" s="124"/>
      <c r="AM82" s="124"/>
      <c r="AN82" s="124"/>
      <c r="AO82" s="124"/>
      <c r="AP82" s="124"/>
      <c r="AQ82" s="124"/>
      <c r="AR82" s="124"/>
      <c r="AS82" s="124"/>
      <c r="AT82" s="124"/>
      <c r="AU82" s="124"/>
      <c r="AV82" s="124"/>
      <c r="AW82" s="124"/>
      <c r="AX82" s="124"/>
      <c r="AY82" s="124"/>
      <c r="AZ82" s="7"/>
      <c r="BA82" s="126"/>
      <c r="BB82" s="126"/>
      <c r="BC82" s="126"/>
      <c r="BD82" s="126"/>
      <c r="BE82" s="126"/>
      <c r="BF82" s="126"/>
      <c r="BG82" s="126"/>
      <c r="BH82" s="126"/>
      <c r="BI82" s="126"/>
      <c r="BJ82" s="314"/>
    </row>
    <row r="83" spans="1:62" ht="13.5" x14ac:dyDescent="0.25">
      <c r="A83" s="314"/>
      <c r="B83" s="117"/>
      <c r="C83" s="53"/>
      <c r="D83" s="117"/>
      <c r="E83" s="162"/>
      <c r="F83" s="158"/>
      <c r="G83" s="12"/>
      <c r="H83" s="83"/>
      <c r="I83" s="53"/>
      <c r="J83" s="130"/>
      <c r="K83" s="117" t="s">
        <v>77</v>
      </c>
      <c r="L83" s="134">
        <f>SUM(L79:L82)</f>
        <v>0.373</v>
      </c>
      <c r="M83" s="158" t="str">
        <f>CONCATENATE(LOOKUP(1,J28:J30,M28:M30)," pa")</f>
        <v>MUSD pa</v>
      </c>
      <c r="N83" s="162" t="str">
        <f>IF(L83&lt;&gt;0,IF(L83&lt;0,"LOSS","GAIN"),"")</f>
        <v>GAIN</v>
      </c>
      <c r="O83" s="116"/>
      <c r="P83" s="116"/>
      <c r="Q83" s="116"/>
      <c r="R83" s="116"/>
      <c r="S83" s="116"/>
      <c r="T83" s="116"/>
      <c r="U83" s="219"/>
      <c r="V83" s="220"/>
      <c r="W83" s="221"/>
      <c r="X83" s="222"/>
      <c r="Y83" s="222"/>
      <c r="Z83" s="222"/>
      <c r="AA83" s="222"/>
      <c r="AB83" s="222"/>
      <c r="AC83" s="222"/>
      <c r="AD83" s="222"/>
      <c r="AE83" s="222"/>
      <c r="AF83" s="123"/>
      <c r="AG83" s="123"/>
      <c r="AH83" s="123"/>
      <c r="AI83" s="123"/>
      <c r="AJ83" s="123"/>
      <c r="AK83" s="124"/>
      <c r="AL83" s="124"/>
      <c r="AM83" s="124"/>
      <c r="AN83" s="124"/>
      <c r="AO83" s="124"/>
      <c r="AP83" s="124"/>
      <c r="AQ83" s="124"/>
      <c r="AR83" s="124"/>
      <c r="AS83" s="124"/>
      <c r="AT83" s="124"/>
      <c r="AU83" s="124"/>
      <c r="AV83" s="124"/>
      <c r="AW83" s="124"/>
      <c r="AX83" s="124"/>
      <c r="AY83" s="124"/>
      <c r="AZ83" s="7"/>
      <c r="BA83" s="126"/>
      <c r="BB83" s="126"/>
      <c r="BC83" s="126"/>
      <c r="BD83" s="126"/>
      <c r="BE83" s="126"/>
      <c r="BF83" s="126"/>
      <c r="BG83" s="126"/>
      <c r="BH83" s="126"/>
      <c r="BI83" s="126"/>
      <c r="BJ83" s="314"/>
    </row>
    <row r="84" spans="1:62" ht="13.5" x14ac:dyDescent="0.25">
      <c r="A84" s="314"/>
      <c r="B84" s="130"/>
      <c r="C84" s="53"/>
      <c r="D84" s="130"/>
      <c r="E84" s="130"/>
      <c r="F84" s="130"/>
      <c r="G84" s="12"/>
      <c r="H84" s="83"/>
      <c r="I84" s="53"/>
      <c r="J84" s="128"/>
      <c r="K84" s="128"/>
      <c r="L84" s="130"/>
      <c r="M84" s="159"/>
      <c r="N84" s="160"/>
      <c r="O84" s="116"/>
      <c r="P84" s="116"/>
      <c r="Q84" s="116"/>
      <c r="R84" s="116"/>
      <c r="S84" s="116"/>
      <c r="T84" s="116"/>
      <c r="U84" s="219"/>
      <c r="V84" s="220"/>
      <c r="W84" s="221"/>
      <c r="X84" s="222"/>
      <c r="Y84" s="222"/>
      <c r="Z84" s="222"/>
      <c r="AA84" s="222"/>
      <c r="AB84" s="222"/>
      <c r="AC84" s="222"/>
      <c r="AD84" s="222"/>
      <c r="AE84" s="222"/>
      <c r="AF84" s="123"/>
      <c r="AG84" s="123"/>
      <c r="AH84" s="123"/>
      <c r="AI84" s="123"/>
      <c r="AJ84" s="123"/>
      <c r="AK84" s="124"/>
      <c r="AL84" s="124"/>
      <c r="AM84" s="124"/>
      <c r="AN84" s="124"/>
      <c r="AO84" s="124"/>
      <c r="AP84" s="124"/>
      <c r="AQ84" s="124"/>
      <c r="AR84" s="124"/>
      <c r="AS84" s="124"/>
      <c r="AT84" s="124"/>
      <c r="AU84" s="124"/>
      <c r="AV84" s="124"/>
      <c r="AW84" s="124"/>
      <c r="AX84" s="124"/>
      <c r="AY84" s="124"/>
      <c r="AZ84" s="7"/>
      <c r="BA84" s="126"/>
      <c r="BB84" s="126"/>
      <c r="BC84" s="126"/>
      <c r="BD84" s="126"/>
      <c r="BE84" s="126"/>
      <c r="BF84" s="126"/>
      <c r="BG84" s="126"/>
      <c r="BH84" s="126"/>
      <c r="BI84" s="126"/>
      <c r="BJ84" s="314"/>
    </row>
    <row r="85" spans="1:62" ht="13.5" x14ac:dyDescent="0.25">
      <c r="A85" s="314"/>
      <c r="B85" s="136" t="str">
        <f>CONCATENATE("DOWNSTREAM PLAYERS BENEFITS - BUYING SAME ",LOOKUP(BA6,BC9:BC32,BG9:BG32))</f>
        <v>DOWNSTREAM PLAYERS BENEFITS - BUYING SAME sq m</v>
      </c>
      <c r="C85" s="53"/>
      <c r="D85" s="137"/>
      <c r="E85" s="137"/>
      <c r="F85" s="137"/>
      <c r="G85" s="12"/>
      <c r="H85" s="83"/>
      <c r="I85" s="53"/>
      <c r="J85" s="128"/>
      <c r="K85" s="137"/>
      <c r="L85" s="137"/>
      <c r="M85" s="130"/>
      <c r="N85" s="159"/>
      <c r="O85" s="116"/>
      <c r="P85" s="116"/>
      <c r="Q85" s="116"/>
      <c r="R85" s="116"/>
      <c r="S85" s="116"/>
      <c r="T85" s="116"/>
      <c r="U85" s="219"/>
      <c r="V85" s="220"/>
      <c r="W85" s="221"/>
      <c r="X85" s="222"/>
      <c r="Y85" s="222"/>
      <c r="Z85" s="222"/>
      <c r="AA85" s="222"/>
      <c r="AB85" s="222"/>
      <c r="AC85" s="222"/>
      <c r="AD85" s="222"/>
      <c r="AE85" s="222"/>
      <c r="AF85" s="123"/>
      <c r="AG85" s="123"/>
      <c r="AH85" s="123"/>
      <c r="AI85" s="123"/>
      <c r="AJ85" s="123"/>
      <c r="AK85" s="124"/>
      <c r="AL85" s="124"/>
      <c r="AM85" s="124"/>
      <c r="AN85" s="124"/>
      <c r="AO85" s="124"/>
      <c r="AP85" s="124"/>
      <c r="AQ85" s="124"/>
      <c r="AR85" s="124"/>
      <c r="AS85" s="124"/>
      <c r="AT85" s="124"/>
      <c r="AU85" s="124"/>
      <c r="AV85" s="124"/>
      <c r="AW85" s="124"/>
      <c r="AX85" s="124"/>
      <c r="AY85" s="124"/>
      <c r="AZ85" s="7"/>
      <c r="BA85" s="126"/>
      <c r="BB85" s="126"/>
      <c r="BC85" s="126"/>
      <c r="BD85" s="126"/>
      <c r="BE85" s="126"/>
      <c r="BF85" s="126"/>
      <c r="BG85" s="126"/>
      <c r="BH85" s="126"/>
      <c r="BI85" s="126"/>
      <c r="BJ85" s="314"/>
    </row>
    <row r="86" spans="1:62" ht="13.5" x14ac:dyDescent="0.25">
      <c r="A86" s="314"/>
      <c r="B86" s="130" t="s">
        <v>76</v>
      </c>
      <c r="C86" s="53"/>
      <c r="D86" s="130"/>
      <c r="E86" s="163">
        <f>(L76*AJ45)/(J60*Z45)-1</f>
        <v>-1.9704903529982332E-6</v>
      </c>
      <c r="F86" s="168" t="str">
        <f>IF(L86&lt;&gt;0,IF(L86&lt;0,"INCREASE","DECREASE"),"UNCHANGED")</f>
        <v>UNCHANGED</v>
      </c>
      <c r="G86" s="12"/>
      <c r="H86" s="83"/>
      <c r="I86" s="53"/>
      <c r="J86" s="128"/>
      <c r="K86" s="240" t="str">
        <f>CONCATENATE(ROUND(J60,2),N22," * ",ROUND(Z45,2),N22," - ",ROUND(L76,2),N75," * ",ROUND(AJ45,2),N22," =")</f>
        <v>1500KT * 1KT - 1873.16 * 0.8KT =</v>
      </c>
      <c r="L86" s="122">
        <f>ROUND((J60*Z45-L76*AJ45)/LOOKUP(1,J28:J30,L28:L30),3)</f>
        <v>0</v>
      </c>
      <c r="M86" s="159" t="str">
        <f>CONCATENATE(LOOKUP(1,J28:J30,M28:M30)," pa")</f>
        <v>MUSD pa</v>
      </c>
      <c r="N86" s="161" t="str">
        <f>IF(L86&lt;&gt;0,IF(L86&lt;0,"LOSS","GAIN"),"")</f>
        <v/>
      </c>
      <c r="O86" s="116"/>
      <c r="P86" s="116"/>
      <c r="Q86" s="116"/>
      <c r="R86" s="116"/>
      <c r="S86" s="116"/>
      <c r="T86" s="116"/>
      <c r="U86" s="219"/>
      <c r="V86" s="220"/>
      <c r="W86" s="221"/>
      <c r="X86" s="222"/>
      <c r="Y86" s="222"/>
      <c r="Z86" s="222"/>
      <c r="AA86" s="222"/>
      <c r="AB86" s="222"/>
      <c r="AC86" s="222"/>
      <c r="AD86" s="222"/>
      <c r="AE86" s="222"/>
      <c r="AF86" s="123"/>
      <c r="AG86" s="123"/>
      <c r="AH86" s="123"/>
      <c r="AI86" s="123"/>
      <c r="AJ86" s="123"/>
      <c r="AK86" s="124"/>
      <c r="AL86" s="124"/>
      <c r="AM86" s="124"/>
      <c r="AN86" s="124"/>
      <c r="AO86" s="124"/>
      <c r="AP86" s="124"/>
      <c r="AQ86" s="124"/>
      <c r="AR86" s="124"/>
      <c r="AS86" s="124"/>
      <c r="AT86" s="124"/>
      <c r="AU86" s="124"/>
      <c r="AV86" s="124"/>
      <c r="AW86" s="124"/>
      <c r="AX86" s="124"/>
      <c r="AY86" s="124"/>
      <c r="AZ86" s="7"/>
      <c r="BA86" s="126"/>
      <c r="BB86" s="126"/>
      <c r="BC86" s="126"/>
      <c r="BD86" s="126"/>
      <c r="BE86" s="126"/>
      <c r="BF86" s="126"/>
      <c r="BG86" s="126"/>
      <c r="BH86" s="126"/>
      <c r="BI86" s="126"/>
      <c r="BJ86" s="314"/>
    </row>
    <row r="87" spans="1:62" ht="13.5" x14ac:dyDescent="0.25">
      <c r="A87" s="314"/>
      <c r="B87" s="130" t="s">
        <v>56</v>
      </c>
      <c r="C87" s="53"/>
      <c r="D87" s="130"/>
      <c r="E87" s="163">
        <f>IF(M26&lt;&gt;0,(L76*AJ45)/(J60*Z45)-1,"")</f>
        <v>-1.9704903529982332E-6</v>
      </c>
      <c r="F87" s="168" t="str">
        <f>IF(L87&lt;&gt;0,IF(L87&lt;0,"INCREASE","DECREASE"),"UNCHANGED")</f>
        <v>UNCHANGED</v>
      </c>
      <c r="G87" s="12"/>
      <c r="H87" s="83"/>
      <c r="I87" s="53"/>
      <c r="J87" s="128"/>
      <c r="K87" s="240" t="str">
        <f>CONCATENATE(M26," / 365 * ( ",J60,N22," * ",ROUND(Z45,2),N22," - ",ROUND(L76,2),N75," * ",ROUND(AJ45,2),N22," ) =")</f>
        <v>100 / 365 * ( 1500KT * 1KT - 1873.16 * 0.8KT ) =</v>
      </c>
      <c r="L87" s="122">
        <f>(L86*M26/365)</f>
        <v>0</v>
      </c>
      <c r="M87" s="159" t="str">
        <f>CONCATENATE(LOOKUP(1,J28:J30,M28:M30)," pa")</f>
        <v>MUSD pa</v>
      </c>
      <c r="N87" s="161" t="str">
        <f>IF(L87&lt;&gt;0,IF(L87&lt;0,"LOSS","GAIN"),"")</f>
        <v/>
      </c>
      <c r="O87" s="116"/>
      <c r="P87" s="116"/>
      <c r="Q87" s="116"/>
      <c r="R87" s="116"/>
      <c r="S87" s="116"/>
      <c r="T87" s="116"/>
      <c r="U87" s="219"/>
      <c r="V87" s="220"/>
      <c r="W87" s="221"/>
      <c r="X87" s="222"/>
      <c r="Y87" s="222"/>
      <c r="Z87" s="222"/>
      <c r="AA87" s="222"/>
      <c r="AB87" s="222"/>
      <c r="AC87" s="222"/>
      <c r="AD87" s="222"/>
      <c r="AE87" s="222"/>
      <c r="AF87" s="123"/>
      <c r="AG87" s="123"/>
      <c r="AH87" s="123"/>
      <c r="AI87" s="123"/>
      <c r="AJ87" s="123"/>
      <c r="AK87" s="124"/>
      <c r="AL87" s="124"/>
      <c r="AM87" s="124"/>
      <c r="AN87" s="124"/>
      <c r="AO87" s="124"/>
      <c r="AP87" s="124"/>
      <c r="AQ87" s="124"/>
      <c r="AR87" s="124"/>
      <c r="AS87" s="124"/>
      <c r="AT87" s="124"/>
      <c r="AU87" s="124"/>
      <c r="AV87" s="124"/>
      <c r="AW87" s="124"/>
      <c r="AX87" s="124"/>
      <c r="AY87" s="124"/>
      <c r="AZ87" s="7"/>
      <c r="BA87" s="126"/>
      <c r="BB87" s="126"/>
      <c r="BC87" s="126"/>
      <c r="BD87" s="126"/>
      <c r="BE87" s="126"/>
      <c r="BF87" s="126"/>
      <c r="BG87" s="126"/>
      <c r="BH87" s="126"/>
      <c r="BI87" s="126"/>
      <c r="BJ87" s="314"/>
    </row>
    <row r="88" spans="1:62" ht="13.5" x14ac:dyDescent="0.25">
      <c r="A88" s="314"/>
      <c r="B88" s="137" t="str">
        <f>IF(AB27&lt;&gt;100%,"UNIT VALUE ADD","")</f>
        <v/>
      </c>
      <c r="C88" s="53"/>
      <c r="D88" s="130"/>
      <c r="E88" s="163" t="str">
        <f>IF(AB27&lt;&gt;100%,(AB27-1),"")</f>
        <v/>
      </c>
      <c r="F88" s="168" t="str">
        <f>IF(AB27&lt;&gt;100%,IF(L88&lt;&gt;0,IF(L88&lt;0,"DECREASE","INCREASE"),"UNCHANGED"),"")</f>
        <v/>
      </c>
      <c r="G88" s="12"/>
      <c r="H88" s="83"/>
      <c r="I88" s="53"/>
      <c r="J88" s="128"/>
      <c r="K88" s="240" t="str">
        <f>IF(AB27&lt;&gt;100%,CONCATENATE("(",ROUND(AB27,2)*100,"% - ","100%) * ",ROUND(J60,2),X44," * ",ROUND(AJ45,2),AC23," ="),"")</f>
        <v/>
      </c>
      <c r="L88" s="122" t="str">
        <f>IF(AB27&lt;&gt;100%,ROUND(((AB27-1)*J60*AJ45)/LOOKUP(1,J28:J30,L28:L30),3),"")</f>
        <v/>
      </c>
      <c r="M88" s="159" t="str">
        <f>IF(AB27&lt;&gt;100%,CONCATENATE(LOOKUP(1,J28:J30,M28:M30)," pa"),"")</f>
        <v/>
      </c>
      <c r="N88" s="161" t="str">
        <f>IF(AB27&lt;&gt;100%,IF(L88&lt;&gt;0,IF(L88&lt;0,"LOSS","GAIN"),""),"")</f>
        <v/>
      </c>
      <c r="O88" s="116"/>
      <c r="P88" s="116"/>
      <c r="Q88" s="116"/>
      <c r="R88" s="116"/>
      <c r="S88" s="116"/>
      <c r="T88" s="116"/>
      <c r="U88" s="219"/>
      <c r="V88" s="220"/>
      <c r="W88" s="221"/>
      <c r="X88" s="222"/>
      <c r="Y88" s="222"/>
      <c r="Z88" s="222"/>
      <c r="AA88" s="222"/>
      <c r="AB88" s="222"/>
      <c r="AC88" s="222"/>
      <c r="AD88" s="222"/>
      <c r="AE88" s="222"/>
      <c r="AF88" s="123"/>
      <c r="AG88" s="123"/>
      <c r="AH88" s="123"/>
      <c r="AI88" s="123"/>
      <c r="AJ88" s="123"/>
      <c r="AK88" s="124"/>
      <c r="AL88" s="124"/>
      <c r="AM88" s="124"/>
      <c r="AN88" s="124"/>
      <c r="AO88" s="124"/>
      <c r="AP88" s="124"/>
      <c r="AQ88" s="124"/>
      <c r="AR88" s="124"/>
      <c r="AS88" s="124"/>
      <c r="AT88" s="124"/>
      <c r="AU88" s="124"/>
      <c r="AV88" s="124"/>
      <c r="AW88" s="124"/>
      <c r="AX88" s="124"/>
      <c r="AY88" s="124"/>
      <c r="AZ88" s="7"/>
      <c r="BA88" s="126"/>
      <c r="BB88" s="126"/>
      <c r="BC88" s="126"/>
      <c r="BD88" s="126"/>
      <c r="BE88" s="126"/>
      <c r="BF88" s="126"/>
      <c r="BG88" s="126"/>
      <c r="BH88" s="126"/>
      <c r="BI88" s="126"/>
      <c r="BJ88" s="314"/>
    </row>
    <row r="89" spans="1:62" ht="13.5" x14ac:dyDescent="0.25">
      <c r="A89" s="314"/>
      <c r="B89" s="117"/>
      <c r="C89" s="53"/>
      <c r="D89" s="117"/>
      <c r="E89" s="163"/>
      <c r="F89" s="158"/>
      <c r="G89" s="12"/>
      <c r="H89" s="83"/>
      <c r="I89" s="53"/>
      <c r="J89" s="130"/>
      <c r="K89" s="117" t="s">
        <v>77</v>
      </c>
      <c r="L89" s="134">
        <f>SUM(L86:L88)</f>
        <v>0</v>
      </c>
      <c r="M89" s="158" t="str">
        <f>CONCATENATE(LOOKUP(1,J28:J30,M28:M30)," pa")</f>
        <v>MUSD pa</v>
      </c>
      <c r="N89" s="162" t="str">
        <f>IF(L89&lt;&gt;0,IF(L89&lt;0,"LOSS","GAIN"),"")</f>
        <v/>
      </c>
      <c r="O89" s="116"/>
      <c r="P89" s="116"/>
      <c r="Q89" s="116"/>
      <c r="R89" s="116"/>
      <c r="S89" s="116"/>
      <c r="T89" s="116"/>
      <c r="U89" s="219"/>
      <c r="V89" s="220"/>
      <c r="W89" s="221"/>
      <c r="X89" s="222"/>
      <c r="Y89" s="222"/>
      <c r="Z89" s="222"/>
      <c r="AA89" s="222"/>
      <c r="AB89" s="222"/>
      <c r="AC89" s="222"/>
      <c r="AD89" s="222"/>
      <c r="AE89" s="222"/>
      <c r="AF89" s="123"/>
      <c r="AG89" s="123"/>
      <c r="AH89" s="123"/>
      <c r="AI89" s="123"/>
      <c r="AJ89" s="123"/>
      <c r="AK89" s="124"/>
      <c r="AL89" s="124"/>
      <c r="AM89" s="124"/>
      <c r="AN89" s="124"/>
      <c r="AO89" s="124"/>
      <c r="AP89" s="124"/>
      <c r="AQ89" s="124"/>
      <c r="AR89" s="124"/>
      <c r="AS89" s="124"/>
      <c r="AT89" s="124"/>
      <c r="AU89" s="124"/>
      <c r="AV89" s="124"/>
      <c r="AW89" s="124"/>
      <c r="AX89" s="124"/>
      <c r="AY89" s="124"/>
      <c r="AZ89" s="7"/>
      <c r="BA89" s="126"/>
      <c r="BB89" s="126"/>
      <c r="BC89" s="126"/>
      <c r="BD89" s="126"/>
      <c r="BE89" s="126"/>
      <c r="BF89" s="126"/>
      <c r="BG89" s="126"/>
      <c r="BH89" s="126"/>
      <c r="BI89" s="126"/>
      <c r="BJ89" s="314"/>
    </row>
    <row r="90" spans="1:62" ht="13.5" x14ac:dyDescent="0.25">
      <c r="A90" s="314"/>
      <c r="B90" s="130"/>
      <c r="C90" s="53"/>
      <c r="D90" s="130"/>
      <c r="E90" s="130"/>
      <c r="F90" s="130"/>
      <c r="G90" s="138"/>
      <c r="H90" s="83"/>
      <c r="I90" s="53"/>
      <c r="J90" s="128"/>
      <c r="K90" s="128"/>
      <c r="L90" s="122"/>
      <c r="M90" s="53"/>
      <c r="N90" s="53"/>
      <c r="O90" s="116"/>
      <c r="P90" s="116"/>
      <c r="Q90" s="116"/>
      <c r="R90" s="116"/>
      <c r="S90" s="116"/>
      <c r="T90" s="116"/>
      <c r="U90" s="219"/>
      <c r="V90" s="220"/>
      <c r="W90" s="221"/>
      <c r="X90" s="222"/>
      <c r="Y90" s="222"/>
      <c r="Z90" s="222"/>
      <c r="AA90" s="222"/>
      <c r="AB90" s="222"/>
      <c r="AC90" s="222"/>
      <c r="AD90" s="222"/>
      <c r="AE90" s="222"/>
      <c r="AF90" s="123"/>
      <c r="AG90" s="123"/>
      <c r="AH90" s="123"/>
      <c r="AI90" s="123"/>
      <c r="AJ90" s="123"/>
      <c r="AK90" s="124"/>
      <c r="AL90" s="124"/>
      <c r="AM90" s="124"/>
      <c r="AN90" s="124"/>
      <c r="AO90" s="124"/>
      <c r="AP90" s="124"/>
      <c r="AQ90" s="124"/>
      <c r="AR90" s="124"/>
      <c r="AS90" s="124"/>
      <c r="AT90" s="124"/>
      <c r="AU90" s="124"/>
      <c r="AV90" s="124"/>
      <c r="AW90" s="124"/>
      <c r="AX90" s="124"/>
      <c r="AY90" s="124"/>
      <c r="AZ90" s="7"/>
      <c r="BA90" s="126"/>
      <c r="BB90" s="126"/>
      <c r="BC90" s="126"/>
      <c r="BD90" s="126"/>
      <c r="BE90" s="126"/>
      <c r="BF90" s="126"/>
      <c r="BG90" s="126"/>
      <c r="BH90" s="126"/>
      <c r="BI90" s="126"/>
      <c r="BJ90" s="314"/>
    </row>
    <row r="91" spans="1:62" ht="3" customHeight="1" x14ac:dyDescent="0.25">
      <c r="A91" s="314"/>
      <c r="B91" s="116"/>
      <c r="C91" s="116"/>
      <c r="D91" s="116"/>
      <c r="E91" s="116"/>
      <c r="F91" s="140"/>
      <c r="G91" s="141"/>
      <c r="H91" s="141"/>
      <c r="I91" s="141"/>
      <c r="J91" s="127"/>
      <c r="K91" s="127"/>
      <c r="L91" s="116"/>
      <c r="M91" s="116"/>
      <c r="N91" s="116"/>
      <c r="O91" s="116"/>
      <c r="P91" s="116"/>
      <c r="Q91" s="116"/>
      <c r="R91" s="116"/>
      <c r="S91" s="116"/>
      <c r="T91" s="116"/>
      <c r="U91" s="219"/>
      <c r="V91" s="219"/>
      <c r="W91" s="219"/>
      <c r="X91" s="222"/>
      <c r="Y91" s="222"/>
      <c r="Z91" s="222"/>
      <c r="AA91" s="222"/>
      <c r="AB91" s="222"/>
      <c r="AC91" s="222"/>
      <c r="AD91" s="222"/>
      <c r="AE91" s="222"/>
      <c r="AF91" s="123"/>
      <c r="AG91" s="123"/>
      <c r="AH91" s="123"/>
      <c r="AI91" s="123"/>
      <c r="AJ91" s="123"/>
      <c r="AK91" s="124"/>
      <c r="AL91" s="124"/>
      <c r="AM91" s="124"/>
      <c r="AN91" s="124"/>
      <c r="AO91" s="124"/>
      <c r="AP91" s="124"/>
      <c r="AQ91" s="124"/>
      <c r="AR91" s="124"/>
      <c r="AS91" s="124"/>
      <c r="AT91" s="124"/>
      <c r="AU91" s="124"/>
      <c r="AV91" s="124"/>
      <c r="AW91" s="124"/>
      <c r="AX91" s="124"/>
      <c r="AY91" s="124"/>
      <c r="AZ91" s="7"/>
      <c r="BA91" s="126"/>
      <c r="BB91" s="126"/>
      <c r="BC91" s="126"/>
      <c r="BD91" s="126"/>
      <c r="BE91" s="126"/>
      <c r="BF91" s="126"/>
      <c r="BG91" s="126"/>
      <c r="BH91" s="126"/>
      <c r="BI91" s="126"/>
      <c r="BJ91" s="314"/>
    </row>
    <row r="92" spans="1:62" ht="13.5" x14ac:dyDescent="0.25">
      <c r="A92" s="314"/>
      <c r="B92" s="194" t="s">
        <v>69</v>
      </c>
      <c r="C92" s="117"/>
      <c r="D92" s="117"/>
      <c r="E92" s="118"/>
      <c r="F92" s="111"/>
      <c r="G92" s="111"/>
      <c r="H92" s="119"/>
      <c r="I92" s="120" t="s">
        <v>68</v>
      </c>
      <c r="J92" s="121">
        <f>AB24</f>
        <v>2000</v>
      </c>
      <c r="K92" s="120" t="str">
        <f>CONCATENATE(F8," =")</f>
        <v>USD/TON =</v>
      </c>
      <c r="L92" s="121">
        <f>ROUND(L60+(J76-L60)*(J92-J60)/(L76-J60),3)</f>
        <v>146.84700000000001</v>
      </c>
      <c r="M92" s="235" t="str">
        <f>X41</f>
        <v>USD per 1000 sq m</v>
      </c>
      <c r="N92" s="235"/>
      <c r="O92" s="116"/>
      <c r="P92" s="116"/>
      <c r="Q92" s="116"/>
      <c r="R92" s="116"/>
      <c r="S92" s="116"/>
      <c r="T92" s="116"/>
      <c r="U92" s="219"/>
      <c r="V92" s="220"/>
      <c r="W92" s="221"/>
      <c r="X92" s="222"/>
      <c r="Y92" s="222"/>
      <c r="Z92" s="222"/>
      <c r="AA92" s="222"/>
      <c r="AB92" s="222"/>
      <c r="AC92" s="222"/>
      <c r="AD92" s="222"/>
      <c r="AE92" s="222"/>
      <c r="AF92" s="123"/>
      <c r="AG92" s="123"/>
      <c r="AH92" s="123"/>
      <c r="AI92" s="123"/>
      <c r="AJ92" s="123"/>
      <c r="AK92" s="124"/>
      <c r="AL92" s="124"/>
      <c r="AM92" s="124"/>
      <c r="AN92" s="124"/>
      <c r="AO92" s="124"/>
      <c r="AP92" s="124"/>
      <c r="AQ92" s="124"/>
      <c r="AR92" s="124"/>
      <c r="AS92" s="124"/>
      <c r="AT92" s="124"/>
      <c r="AU92" s="124"/>
      <c r="AV92" s="124"/>
      <c r="AW92" s="124"/>
      <c r="AX92" s="124"/>
      <c r="AY92" s="124"/>
      <c r="AZ92" s="7"/>
      <c r="BA92" s="126"/>
      <c r="BB92" s="126"/>
      <c r="BC92" s="126"/>
      <c r="BD92" s="126"/>
      <c r="BE92" s="126"/>
      <c r="BF92" s="126"/>
      <c r="BG92" s="126"/>
      <c r="BH92" s="126"/>
      <c r="BI92" s="126"/>
      <c r="BJ92" s="314"/>
    </row>
    <row r="93" spans="1:62" ht="13.5" x14ac:dyDescent="0.25">
      <c r="A93" s="314"/>
      <c r="B93" s="130"/>
      <c r="C93" s="53"/>
      <c r="D93" s="130"/>
      <c r="E93" s="130"/>
      <c r="F93" s="130"/>
      <c r="G93" s="130"/>
      <c r="H93" s="130"/>
      <c r="I93" s="130"/>
      <c r="J93" s="128"/>
      <c r="K93" s="128"/>
      <c r="L93" s="130"/>
      <c r="M93" s="130"/>
      <c r="N93" s="130"/>
      <c r="O93" s="116"/>
      <c r="P93" s="116"/>
      <c r="Q93" s="116"/>
      <c r="R93" s="116"/>
      <c r="S93" s="116"/>
      <c r="T93" s="116"/>
      <c r="U93" s="219"/>
      <c r="V93" s="220"/>
      <c r="W93" s="221"/>
      <c r="X93" s="222"/>
      <c r="Y93" s="222"/>
      <c r="Z93" s="222"/>
      <c r="AA93" s="222"/>
      <c r="AB93" s="222"/>
      <c r="AC93" s="222"/>
      <c r="AD93" s="222"/>
      <c r="AE93" s="222"/>
      <c r="AF93" s="123"/>
      <c r="AG93" s="123"/>
      <c r="AH93" s="123"/>
      <c r="AI93" s="123"/>
      <c r="AJ93" s="123"/>
      <c r="AK93" s="124"/>
      <c r="AL93" s="124"/>
      <c r="AM93" s="124"/>
      <c r="AN93" s="124"/>
      <c r="AO93" s="124"/>
      <c r="AP93" s="124"/>
      <c r="AQ93" s="124"/>
      <c r="AR93" s="124"/>
      <c r="AS93" s="124"/>
      <c r="AT93" s="124"/>
      <c r="AU93" s="124"/>
      <c r="AV93" s="124"/>
      <c r="AW93" s="124"/>
      <c r="AX93" s="124"/>
      <c r="AY93" s="124"/>
      <c r="AZ93" s="7"/>
      <c r="BA93" s="126"/>
      <c r="BB93" s="126"/>
      <c r="BC93" s="126"/>
      <c r="BD93" s="126"/>
      <c r="BE93" s="126"/>
      <c r="BF93" s="126"/>
      <c r="BG93" s="126"/>
      <c r="BH93" s="126"/>
      <c r="BI93" s="126"/>
      <c r="BJ93" s="314"/>
    </row>
    <row r="94" spans="1:62" ht="13.5" x14ac:dyDescent="0.25">
      <c r="A94" s="314"/>
      <c r="B94" s="142" t="str">
        <f>CONCATENATE("CONVERTER BENEFITS - ON ",AB23,N22," BUSINESS")</f>
        <v>CONVERTER BENEFITS - ON 1KT BUSINESS</v>
      </c>
      <c r="C94" s="53"/>
      <c r="D94" s="130"/>
      <c r="E94" s="130"/>
      <c r="F94" s="130"/>
      <c r="G94" s="130"/>
      <c r="H94" s="130"/>
      <c r="I94" s="130"/>
      <c r="J94" s="128"/>
      <c r="K94" s="130"/>
      <c r="L94" s="130"/>
      <c r="O94" s="116"/>
      <c r="P94" s="116"/>
      <c r="Q94" s="116"/>
      <c r="R94" s="116"/>
      <c r="S94" s="116"/>
      <c r="T94" s="116"/>
      <c r="U94" s="219"/>
      <c r="V94" s="220"/>
      <c r="W94" s="221"/>
      <c r="X94" s="222"/>
      <c r="Y94" s="222"/>
      <c r="Z94" s="222"/>
      <c r="AA94" s="222"/>
      <c r="AB94" s="222"/>
      <c r="AC94" s="222"/>
      <c r="AD94" s="222"/>
      <c r="AE94" s="222"/>
      <c r="AF94" s="123"/>
      <c r="AG94" s="123"/>
      <c r="AH94" s="123"/>
      <c r="AI94" s="123"/>
      <c r="AJ94" s="123"/>
      <c r="AK94" s="124"/>
      <c r="AL94" s="124"/>
      <c r="AM94" s="124"/>
      <c r="AN94" s="124"/>
      <c r="AO94" s="124"/>
      <c r="AP94" s="124"/>
      <c r="AQ94" s="124"/>
      <c r="AR94" s="124"/>
      <c r="AS94" s="124"/>
      <c r="AT94" s="124"/>
      <c r="AU94" s="124"/>
      <c r="AV94" s="124"/>
      <c r="AW94" s="124"/>
      <c r="AX94" s="124"/>
      <c r="AY94" s="124"/>
      <c r="AZ94" s="7"/>
      <c r="BA94" s="126"/>
      <c r="BB94" s="126"/>
      <c r="BC94" s="126"/>
      <c r="BD94" s="126"/>
      <c r="BE94" s="126"/>
      <c r="BF94" s="126"/>
      <c r="BG94" s="126"/>
      <c r="BH94" s="126"/>
      <c r="BI94" s="126"/>
      <c r="BJ94" s="314"/>
    </row>
    <row r="95" spans="1:62" ht="13.5" x14ac:dyDescent="0.25">
      <c r="A95" s="314"/>
      <c r="B95" s="130" t="s">
        <v>57</v>
      </c>
      <c r="C95" s="53"/>
      <c r="D95" s="130"/>
      <c r="E95" s="162">
        <f>(AB23*J92)/(M22*J60)-1</f>
        <v>0.33333333333333326</v>
      </c>
      <c r="F95" s="168" t="str">
        <f>IF(L95&lt;&gt;0,IF(L95&lt;0,"DECREASE","INCREASE"),"UNCHANGED")</f>
        <v>INCREASE</v>
      </c>
      <c r="G95" s="128"/>
      <c r="H95" s="130"/>
      <c r="I95" s="130"/>
      <c r="J95" s="128"/>
      <c r="K95" s="132" t="str">
        <f>CONCATENATE("( ",ROUND(AJ45,2),N22," + ",ROUND((AB23-AJ45),2),N22," ) * ",ROUND(J92,2),X44," - ",Z45,N22," * ",ROUND(J60,2),X44," =")</f>
        <v>( 0.8KT + 0.2KT ) * 2000USD/TON - 1KT * 1500USD/TON =</v>
      </c>
      <c r="L95" s="143">
        <f>ROUND((AB23*J92-M22*J60)/LOOKUP(1,J28:J30,L28:L30),3)</f>
        <v>0.5</v>
      </c>
      <c r="M95" s="159" t="str">
        <f>CONCATENATE(LOOKUP(1,J28:J30,M28:M30)," pa")</f>
        <v>MUSD pa</v>
      </c>
      <c r="N95" s="161" t="str">
        <f>IF(L95&lt;&gt;0,IF(L95&lt;0,"LOSS","GAIN"),"")</f>
        <v>GAIN</v>
      </c>
      <c r="O95" s="116"/>
      <c r="P95" s="116"/>
      <c r="Q95" s="116"/>
      <c r="R95" s="116"/>
      <c r="S95" s="116"/>
      <c r="T95" s="116"/>
      <c r="U95" s="219"/>
      <c r="V95" s="220"/>
      <c r="W95" s="221"/>
      <c r="X95" s="222"/>
      <c r="Y95" s="222"/>
      <c r="Z95" s="222"/>
      <c r="AA95" s="222"/>
      <c r="AB95" s="222"/>
      <c r="AC95" s="222"/>
      <c r="AD95" s="222"/>
      <c r="AE95" s="222"/>
      <c r="AF95" s="123"/>
      <c r="AG95" s="123"/>
      <c r="AH95" s="123"/>
      <c r="AI95" s="123"/>
      <c r="AJ95" s="123"/>
      <c r="AK95" s="124"/>
      <c r="AL95" s="124"/>
      <c r="AM95" s="124"/>
      <c r="AN95" s="124"/>
      <c r="AO95" s="124"/>
      <c r="AP95" s="124"/>
      <c r="AQ95" s="124"/>
      <c r="AR95" s="124"/>
      <c r="AS95" s="124"/>
      <c r="AT95" s="124"/>
      <c r="AU95" s="124"/>
      <c r="AV95" s="124"/>
      <c r="AW95" s="124"/>
      <c r="AX95" s="124"/>
      <c r="AY95" s="124"/>
      <c r="AZ95" s="7"/>
      <c r="BA95" s="126"/>
      <c r="BB95" s="126"/>
      <c r="BC95" s="126"/>
      <c r="BD95" s="126"/>
      <c r="BE95" s="126"/>
      <c r="BF95" s="126"/>
      <c r="BG95" s="126"/>
      <c r="BH95" s="126"/>
      <c r="BI95" s="126"/>
      <c r="BJ95" s="314"/>
    </row>
    <row r="96" spans="1:62" ht="13.5" x14ac:dyDescent="0.25">
      <c r="A96" s="314"/>
      <c r="B96" s="130" t="s">
        <v>55</v>
      </c>
      <c r="C96" s="53"/>
      <c r="D96" s="130"/>
      <c r="E96" s="162">
        <f>(AB23*AB44)/(M22*Z44)-1</f>
        <v>0</v>
      </c>
      <c r="F96" s="168" t="str">
        <f>IF(L96&lt;&gt;0,IF(L96&lt;0,"INCREASE","DECREASE"),"UNCHANGED")</f>
        <v>UNCHANGED</v>
      </c>
      <c r="G96" s="128"/>
      <c r="H96" s="130"/>
      <c r="I96" s="130"/>
      <c r="J96" s="144"/>
      <c r="K96" s="132" t="str">
        <f>CONCATENATE(Z45,N22," * ",ROUND(Z44,2),X44," - ","( ",ROUND(AJ45,2),N22," + ",ROUND((AB23-AJ45),2),N22," ) * ",ROUND(AB44,2),X44," =")</f>
        <v>1KT * 1000USD/TON - ( 0.8KT + 0.2KT ) * 1000USD/TON =</v>
      </c>
      <c r="L96" s="122">
        <f>ROUND((M22*Z44-AB23*AB44)/LOOKUP(1,J28:J30,L28:L30),3)</f>
        <v>0</v>
      </c>
      <c r="M96" s="159" t="str">
        <f>CONCATENATE(LOOKUP(1,J28:J30,M28:M30)," pa")</f>
        <v>MUSD pa</v>
      </c>
      <c r="N96" s="161" t="str">
        <f>IF(L96&lt;&gt;0,IF(L96&lt;0,"LOSS","GAIN"),"")</f>
        <v/>
      </c>
      <c r="O96" s="116"/>
      <c r="P96" s="116"/>
      <c r="Q96" s="116"/>
      <c r="R96" s="116"/>
      <c r="S96" s="116"/>
      <c r="T96" s="116"/>
      <c r="U96" s="219"/>
      <c r="V96" s="220"/>
      <c r="W96" s="221"/>
      <c r="X96" s="222"/>
      <c r="Y96" s="222"/>
      <c r="Z96" s="222"/>
      <c r="AA96" s="222"/>
      <c r="AB96" s="222"/>
      <c r="AC96" s="222"/>
      <c r="AD96" s="222"/>
      <c r="AE96" s="222"/>
      <c r="AF96" s="123"/>
      <c r="AG96" s="123"/>
      <c r="AH96" s="123"/>
      <c r="AI96" s="123"/>
      <c r="AJ96" s="123"/>
      <c r="AK96" s="124"/>
      <c r="AL96" s="124"/>
      <c r="AM96" s="124"/>
      <c r="AN96" s="124"/>
      <c r="AO96" s="124"/>
      <c r="AP96" s="124"/>
      <c r="AQ96" s="124"/>
      <c r="AR96" s="124"/>
      <c r="AS96" s="124"/>
      <c r="AT96" s="124"/>
      <c r="AU96" s="124"/>
      <c r="AV96" s="124"/>
      <c r="AW96" s="124"/>
      <c r="AX96" s="124"/>
      <c r="AY96" s="124"/>
      <c r="AZ96" s="7"/>
      <c r="BA96" s="126"/>
      <c r="BB96" s="126"/>
      <c r="BC96" s="126"/>
      <c r="BD96" s="126"/>
      <c r="BE96" s="126"/>
      <c r="BF96" s="126"/>
      <c r="BG96" s="126"/>
      <c r="BH96" s="126"/>
      <c r="BI96" s="126"/>
      <c r="BJ96" s="314"/>
    </row>
    <row r="97" spans="1:62" ht="13.5" x14ac:dyDescent="0.25">
      <c r="A97" s="314"/>
      <c r="B97" s="130" t="s">
        <v>56</v>
      </c>
      <c r="C97" s="148"/>
      <c r="D97" s="130"/>
      <c r="E97" s="162">
        <f>IF(M26&lt;&gt;0,(AB23*AB44)/(M22*Z44)-1,"")</f>
        <v>0</v>
      </c>
      <c r="F97" s="168" t="str">
        <f>IF(L97&lt;&gt;0,IF(L97&lt;0,"INCREASE","DECREASE"),"UNCHANGED")</f>
        <v>UNCHANGED</v>
      </c>
      <c r="G97" s="128"/>
      <c r="H97" s="145"/>
      <c r="I97" s="145"/>
      <c r="J97" s="137"/>
      <c r="K97" s="132" t="str">
        <f>CONCATENATE(M26,"/365 * [",Z45,N22,"*",ROUND(Z44,2),X44,"-","(",ROUND(AJ45,2),N22,"+",ROUND((AB23-AJ45),2),N22,")*",ROUND(AB44,2),X44,"] =")</f>
        <v>100/365 * [1KT*1000USD/TON-(0.8KT+0.2KT)*1000USD/TON] =</v>
      </c>
      <c r="L97" s="122">
        <f>ROUND(M26/365*(L96),10)</f>
        <v>0</v>
      </c>
      <c r="M97" s="159" t="str">
        <f>CONCATENATE(LOOKUP(1,J28:J30,M28:M30)," pa")</f>
        <v>MUSD pa</v>
      </c>
      <c r="N97" s="161" t="str">
        <f>IF(L97&lt;&gt;0,IF(L97&lt;0,"LOSS","GAIN"),"")</f>
        <v/>
      </c>
      <c r="O97" s="116"/>
      <c r="P97" s="116"/>
      <c r="Q97" s="116"/>
      <c r="R97" s="116"/>
      <c r="S97" s="116"/>
      <c r="T97" s="116"/>
      <c r="U97" s="219"/>
      <c r="V97" s="226"/>
      <c r="W97" s="221"/>
      <c r="X97" s="222"/>
      <c r="Y97" s="222"/>
      <c r="Z97" s="222"/>
      <c r="AA97" s="222"/>
      <c r="AB97" s="222"/>
      <c r="AC97" s="222"/>
      <c r="AD97" s="222"/>
      <c r="AE97" s="222"/>
      <c r="AF97" s="123"/>
      <c r="AG97" s="123"/>
      <c r="AH97" s="123"/>
      <c r="AI97" s="123"/>
      <c r="AJ97" s="123"/>
      <c r="AK97" s="103"/>
      <c r="AL97" s="103"/>
      <c r="AM97" s="146"/>
      <c r="AN97" s="147"/>
      <c r="AO97" s="103"/>
      <c r="AP97" s="103"/>
      <c r="AQ97" s="315"/>
      <c r="AR97" s="315"/>
      <c r="AS97" s="315"/>
      <c r="AT97" s="315"/>
      <c r="AU97" s="315"/>
      <c r="AV97" s="315"/>
      <c r="AW97" s="315"/>
      <c r="AX97" s="316"/>
      <c r="AY97" s="316"/>
      <c r="AZ97" s="103"/>
      <c r="BA97" s="103"/>
      <c r="BB97" s="103"/>
      <c r="BC97" s="103"/>
      <c r="BD97" s="103"/>
      <c r="BE97" s="103"/>
      <c r="BF97" s="103"/>
      <c r="BG97" s="103"/>
      <c r="BH97" s="103"/>
      <c r="BI97" s="103"/>
      <c r="BJ97" s="314"/>
    </row>
    <row r="98" spans="1:62" ht="13.5" x14ac:dyDescent="0.25">
      <c r="A98" s="314"/>
      <c r="B98" s="130" t="s">
        <v>60</v>
      </c>
      <c r="C98" s="53"/>
      <c r="D98" s="130"/>
      <c r="E98" s="163">
        <f>AB23/M22-1</f>
        <v>0</v>
      </c>
      <c r="F98" s="168" t="str">
        <f>IF(L98&lt;&gt;0,IF(L98&lt;0,"INCREASE","DECREASE"),"UNCHANGED")</f>
        <v>UNCHANGED</v>
      </c>
      <c r="G98" s="128"/>
      <c r="H98" s="130"/>
      <c r="I98" s="130"/>
      <c r="J98" s="137"/>
      <c r="K98" s="132" t="str">
        <f>CONCATENATE(M27,N27," * ( ",ROUND(M22,2),N22," - ",ROUND(AB23,2),N22," ) =")</f>
        <v>50USD/TON * ( 1KT - 1KT ) =</v>
      </c>
      <c r="L98" s="122">
        <f>ROUND((M22-AB23)*M27/LOOKUP(1,J28:J30,L28:L30),3)</f>
        <v>0</v>
      </c>
      <c r="M98" s="159" t="str">
        <f>CONCATENATE(LOOKUP(1,J28:J30,M28:M30)," pa")</f>
        <v>MUSD pa</v>
      </c>
      <c r="N98" s="161" t="str">
        <f>IF(L98&lt;&gt;0,IF(L98&lt;0,"LOSS","GAIN"),"")</f>
        <v/>
      </c>
      <c r="O98" s="116"/>
      <c r="P98" s="116"/>
      <c r="Q98" s="116"/>
      <c r="R98" s="116"/>
      <c r="S98" s="116"/>
      <c r="T98" s="116"/>
      <c r="U98" s="219"/>
      <c r="V98" s="220"/>
      <c r="W98" s="221"/>
      <c r="X98" s="222"/>
      <c r="Y98" s="222"/>
      <c r="Z98" s="222"/>
      <c r="AA98" s="222"/>
      <c r="AB98" s="222"/>
      <c r="AC98" s="222"/>
      <c r="AD98" s="222"/>
      <c r="AE98" s="222"/>
      <c r="AF98" s="123"/>
      <c r="AG98" s="123"/>
      <c r="AH98" s="123"/>
      <c r="AI98" s="123"/>
      <c r="AJ98" s="123"/>
      <c r="AK98" s="7"/>
      <c r="AL98" s="7"/>
      <c r="AM98" s="101"/>
      <c r="AN98" s="149"/>
      <c r="AO98" s="7"/>
      <c r="AP98" s="7"/>
      <c r="AQ98" s="101"/>
      <c r="AR98" s="101"/>
      <c r="AS98" s="101"/>
      <c r="AT98" s="101"/>
      <c r="AU98" s="101"/>
      <c r="AV98" s="101"/>
      <c r="AW98" s="101"/>
      <c r="AX98" s="101"/>
      <c r="AY98" s="149"/>
      <c r="AZ98" s="7"/>
      <c r="BA98" s="7"/>
      <c r="BB98" s="7"/>
      <c r="BC98" s="7"/>
      <c r="BD98" s="7"/>
      <c r="BE98" s="7"/>
      <c r="BF98" s="7"/>
      <c r="BG98" s="7"/>
      <c r="BH98" s="7"/>
      <c r="BI98" s="7"/>
      <c r="BJ98" s="314"/>
    </row>
    <row r="99" spans="1:62" ht="13.5" x14ac:dyDescent="0.25">
      <c r="A99" s="314"/>
      <c r="B99" s="117"/>
      <c r="C99" s="53"/>
      <c r="D99" s="117"/>
      <c r="E99" s="163"/>
      <c r="F99" s="158"/>
      <c r="G99" s="128"/>
      <c r="H99" s="130"/>
      <c r="I99" s="130"/>
      <c r="J99" s="137"/>
      <c r="K99" s="117" t="s">
        <v>77</v>
      </c>
      <c r="L99" s="122">
        <f>SUM(L95:L98)</f>
        <v>0.5</v>
      </c>
      <c r="M99" s="159" t="str">
        <f>CONCATENATE(LOOKUP(1,J28:J30,M28:M30)," pa")</f>
        <v>MUSD pa</v>
      </c>
      <c r="N99" s="162" t="str">
        <f>IF(L99&lt;&gt;0,IF(L99&lt;0,"LOSS","GAIN"),"")</f>
        <v>GAIN</v>
      </c>
      <c r="O99" s="116"/>
      <c r="P99" s="116"/>
      <c r="Q99" s="116"/>
      <c r="R99" s="116"/>
      <c r="S99" s="116"/>
      <c r="T99" s="116"/>
      <c r="U99" s="219"/>
      <c r="V99" s="220"/>
      <c r="W99" s="221"/>
      <c r="X99" s="222"/>
      <c r="Y99" s="222"/>
      <c r="Z99" s="222"/>
      <c r="AA99" s="222"/>
      <c r="AB99" s="222"/>
      <c r="AC99" s="222"/>
      <c r="AD99" s="222"/>
      <c r="AE99" s="222"/>
      <c r="AF99" s="123"/>
      <c r="AG99" s="123"/>
      <c r="AH99" s="123"/>
      <c r="AI99" s="123"/>
      <c r="AJ99" s="123"/>
      <c r="AK99" s="7"/>
      <c r="AL99" s="7"/>
      <c r="AM99" s="101"/>
      <c r="AN99" s="149"/>
      <c r="AO99" s="7"/>
      <c r="AP99" s="7"/>
      <c r="AQ99" s="101"/>
      <c r="AR99" s="101"/>
      <c r="AS99" s="101"/>
      <c r="AT99" s="101"/>
      <c r="AU99" s="101"/>
      <c r="AV99" s="101"/>
      <c r="AW99" s="101"/>
      <c r="AX99" s="101"/>
      <c r="AY99" s="149"/>
      <c r="AZ99" s="7"/>
      <c r="BA99" s="7"/>
      <c r="BB99" s="7"/>
      <c r="BC99" s="7"/>
      <c r="BD99" s="7"/>
      <c r="BE99" s="7"/>
      <c r="BF99" s="7"/>
      <c r="BG99" s="7"/>
      <c r="BH99" s="7"/>
      <c r="BI99" s="7"/>
      <c r="BJ99" s="314"/>
    </row>
    <row r="100" spans="1:62" ht="13.5" x14ac:dyDescent="0.25">
      <c r="A100" s="314"/>
      <c r="B100" s="130"/>
      <c r="C100" s="53"/>
      <c r="D100" s="130"/>
      <c r="E100" s="130"/>
      <c r="F100" s="130"/>
      <c r="G100" s="130"/>
      <c r="H100" s="130"/>
      <c r="I100" s="130"/>
      <c r="J100" s="137"/>
      <c r="K100" s="128"/>
      <c r="L100" s="130"/>
      <c r="M100" s="159"/>
      <c r="N100" s="160"/>
      <c r="O100" s="116"/>
      <c r="P100" s="116"/>
      <c r="Q100" s="116"/>
      <c r="R100" s="116"/>
      <c r="S100" s="116"/>
      <c r="T100" s="116"/>
      <c r="U100" s="116"/>
      <c r="V100" s="7"/>
      <c r="W100" s="135"/>
      <c r="X100" s="123"/>
      <c r="Y100" s="123"/>
      <c r="Z100" s="123"/>
      <c r="AA100" s="123"/>
      <c r="AB100" s="123"/>
      <c r="AC100" s="123"/>
      <c r="AD100" s="123"/>
      <c r="AE100" s="123"/>
      <c r="AF100" s="123"/>
      <c r="AG100" s="123"/>
      <c r="AH100" s="123"/>
      <c r="AI100" s="123"/>
      <c r="AJ100" s="123"/>
      <c r="AK100" s="7"/>
      <c r="AL100" s="7"/>
      <c r="AM100" s="101"/>
      <c r="AN100" s="102"/>
      <c r="AO100" s="7"/>
      <c r="AP100" s="7"/>
      <c r="AQ100" s="101"/>
      <c r="AR100" s="101"/>
      <c r="AS100" s="101"/>
      <c r="AT100" s="101"/>
      <c r="AU100" s="101"/>
      <c r="AV100" s="101"/>
      <c r="AW100" s="101"/>
      <c r="AX100" s="101"/>
      <c r="AY100" s="102"/>
      <c r="AZ100" s="7"/>
      <c r="BA100" s="7"/>
      <c r="BB100" s="7"/>
      <c r="BC100" s="7"/>
      <c r="BD100" s="7"/>
      <c r="BE100" s="7"/>
      <c r="BF100" s="7"/>
      <c r="BG100" s="7"/>
      <c r="BH100" s="7"/>
      <c r="BI100" s="7"/>
      <c r="BJ100" s="314"/>
    </row>
    <row r="101" spans="1:62" ht="13.5" x14ac:dyDescent="0.25">
      <c r="A101" s="314"/>
      <c r="B101" s="136" t="str">
        <f>CONCATENATE("DOWNSTREAM PLAYERS BENEFITS - BUYING SAME ",LOOKUP(BA6,BC9:BC32,BG9:BG32))</f>
        <v>DOWNSTREAM PLAYERS BENEFITS - BUYING SAME sq m</v>
      </c>
      <c r="C101" s="53"/>
      <c r="D101" s="137"/>
      <c r="E101" s="137"/>
      <c r="F101" s="137"/>
      <c r="G101" s="137"/>
      <c r="H101" s="130"/>
      <c r="I101" s="130"/>
      <c r="J101" s="137"/>
      <c r="K101" s="128"/>
      <c r="L101" s="137"/>
      <c r="M101" s="159"/>
      <c r="N101" s="160"/>
      <c r="O101" s="116"/>
      <c r="P101" s="116"/>
      <c r="Q101" s="116"/>
      <c r="R101" s="116"/>
      <c r="S101" s="116"/>
      <c r="T101" s="116"/>
      <c r="U101" s="116"/>
      <c r="V101" s="7"/>
      <c r="W101" s="135"/>
      <c r="X101" s="123"/>
      <c r="Y101" s="123"/>
      <c r="Z101" s="123"/>
      <c r="AA101" s="123"/>
      <c r="AB101" s="123"/>
      <c r="AC101" s="123"/>
      <c r="AD101" s="123"/>
      <c r="AE101" s="123"/>
      <c r="AF101" s="123"/>
      <c r="AG101" s="123"/>
      <c r="AH101" s="123"/>
      <c r="AI101" s="123"/>
      <c r="AJ101" s="123"/>
      <c r="AK101" s="7"/>
      <c r="AL101" s="7"/>
      <c r="AM101" s="101"/>
      <c r="AN101" s="150"/>
      <c r="AO101" s="7"/>
      <c r="AP101" s="7"/>
      <c r="AQ101" s="101"/>
      <c r="AR101" s="101"/>
      <c r="AS101" s="101"/>
      <c r="AT101" s="101"/>
      <c r="AU101" s="101"/>
      <c r="AV101" s="101"/>
      <c r="AW101" s="101"/>
      <c r="AX101" s="101"/>
      <c r="AY101" s="150"/>
      <c r="AZ101" s="7"/>
      <c r="BA101" s="7"/>
      <c r="BB101" s="7"/>
      <c r="BC101" s="7"/>
      <c r="BD101" s="7"/>
      <c r="BE101" s="7"/>
      <c r="BF101" s="7"/>
      <c r="BG101" s="7"/>
      <c r="BH101" s="7"/>
      <c r="BI101" s="7"/>
      <c r="BJ101" s="314"/>
    </row>
    <row r="102" spans="1:62" ht="13.5" x14ac:dyDescent="0.25">
      <c r="A102" s="314"/>
      <c r="B102" s="130" t="s">
        <v>76</v>
      </c>
      <c r="C102" s="53"/>
      <c r="D102" s="130"/>
      <c r="E102" s="163">
        <f>(J92*AJ45)/(J60*Z45)-1</f>
        <v>6.7712346526348055E-2</v>
      </c>
      <c r="F102" s="168" t="str">
        <f>IF(L102&lt;&gt;0,IF(L102&lt;0,"INCREASE","DECREASE"),"UNCHANGED")</f>
        <v>INCREASE</v>
      </c>
      <c r="G102" s="128"/>
      <c r="H102" s="130"/>
      <c r="I102" s="130"/>
      <c r="J102" s="137"/>
      <c r="K102" s="240" t="str">
        <f>CONCATENATE(ROUND(J60,2),N22," * ",ROUND(Z45,2),N22," - ",ROUND(J92,2),N75," * ",ROUND(AJ45,2),N22," =")</f>
        <v>1500KT * 1KT - 2000 * 0.8KT =</v>
      </c>
      <c r="L102" s="122">
        <f>ROUND((J60*Z45-J92*AJ45)/LOOKUP(1,J28:J30,L28:L30),3)</f>
        <v>-0.10199999999999999</v>
      </c>
      <c r="M102" s="159" t="str">
        <f>CONCATENATE(LOOKUP(1,J28:J30,M28:M30)," pa")</f>
        <v>MUSD pa</v>
      </c>
      <c r="N102" s="161" t="str">
        <f>IF(L102&lt;&gt;0,IF(L102&lt;0,"LOSS","GAIN"),"")</f>
        <v>LOSS</v>
      </c>
      <c r="O102" s="116"/>
      <c r="P102" s="116"/>
      <c r="Q102" s="116"/>
      <c r="R102" s="116"/>
      <c r="S102" s="116"/>
      <c r="T102" s="116"/>
      <c r="U102" s="116"/>
      <c r="V102" s="7"/>
      <c r="W102" s="135"/>
      <c r="X102" s="123"/>
      <c r="Y102" s="123"/>
      <c r="Z102" s="123"/>
      <c r="AA102" s="123"/>
      <c r="AB102" s="123"/>
      <c r="AC102" s="123"/>
      <c r="AD102" s="123"/>
      <c r="AE102" s="123"/>
      <c r="AF102" s="123"/>
      <c r="AG102" s="123"/>
      <c r="AH102" s="123"/>
      <c r="AI102" s="123"/>
      <c r="AJ102" s="123"/>
      <c r="AK102" s="7"/>
      <c r="AL102" s="7"/>
      <c r="AM102" s="7"/>
      <c r="AN102" s="7"/>
      <c r="AO102" s="7"/>
      <c r="AP102" s="7"/>
      <c r="AQ102" s="7"/>
      <c r="AR102" s="7"/>
      <c r="AS102" s="7"/>
      <c r="AT102" s="7"/>
      <c r="AU102" s="7"/>
      <c r="AV102" s="7"/>
      <c r="AW102" s="7"/>
      <c r="AX102" s="7"/>
      <c r="AY102" s="7"/>
      <c r="AZ102" s="197"/>
      <c r="BA102" s="7"/>
      <c r="BB102" s="7"/>
      <c r="BC102" s="7"/>
      <c r="BD102" s="7"/>
      <c r="BE102" s="7"/>
      <c r="BF102" s="7"/>
      <c r="BG102" s="7"/>
      <c r="BH102" s="7"/>
      <c r="BI102" s="7"/>
      <c r="BJ102" s="314"/>
    </row>
    <row r="103" spans="1:62" ht="13.5" x14ac:dyDescent="0.25">
      <c r="A103" s="314"/>
      <c r="B103" s="130" t="s">
        <v>56</v>
      </c>
      <c r="C103" s="153"/>
      <c r="D103" s="130"/>
      <c r="E103" s="163">
        <f>IF(M26&lt;&gt;0,(J92*AJ45)/(J60*Z45)-1,"")</f>
        <v>6.7712346526348055E-2</v>
      </c>
      <c r="F103" s="168" t="str">
        <f>IF(L103&lt;&gt;0,IF(L103&lt;0,"INCREASE","DECREASE"),"UNCHANGED")</f>
        <v>INCREASE</v>
      </c>
      <c r="G103" s="128"/>
      <c r="H103" s="151"/>
      <c r="I103" s="151"/>
      <c r="J103" s="137"/>
      <c r="K103" s="240" t="str">
        <f>CONCATENATE(M26," / 365 * ( ",ROUND(J60,2),N22," * ",ROUND(Z45,2),N22," - ",ROUND(J92,2),N75," * ",ROUND(AJ45,2),N22," ) =")</f>
        <v>100 / 365 * ( 1500KT * 1KT - 2000 * 0.8KT ) =</v>
      </c>
      <c r="L103" s="122">
        <f>(L102*M26/365)</f>
        <v>-2.7945205479452052E-2</v>
      </c>
      <c r="M103" s="159" t="str">
        <f>CONCATENATE(LOOKUP(1,J28:J30,M28:M30)," pa")</f>
        <v>MUSD pa</v>
      </c>
      <c r="N103" s="161" t="str">
        <f>IF(L103&lt;&gt;0,IF(L103&lt;0,"LOSS","GAIN"),"")</f>
        <v>LOSS</v>
      </c>
      <c r="O103" s="116"/>
      <c r="P103" s="116"/>
      <c r="Q103" s="116"/>
      <c r="R103" s="116"/>
      <c r="S103" s="116"/>
      <c r="T103" s="116"/>
      <c r="U103" s="116"/>
      <c r="V103" s="90"/>
      <c r="W103" s="135"/>
      <c r="X103" s="123"/>
      <c r="Y103" s="123"/>
      <c r="Z103" s="123"/>
      <c r="AA103" s="123"/>
      <c r="AB103" s="123"/>
      <c r="AC103" s="123"/>
      <c r="AD103" s="123"/>
      <c r="AE103" s="123"/>
      <c r="AF103" s="123"/>
      <c r="AG103" s="123"/>
      <c r="AH103" s="123"/>
      <c r="AI103" s="123"/>
      <c r="AJ103" s="123"/>
      <c r="AK103" s="90"/>
      <c r="AL103" s="7"/>
      <c r="AM103" s="152"/>
      <c r="AN103" s="81"/>
      <c r="AO103" s="7"/>
      <c r="AP103" s="7"/>
      <c r="AQ103" s="90"/>
      <c r="AR103" s="90"/>
      <c r="AS103" s="90"/>
      <c r="AT103" s="90"/>
      <c r="AU103" s="90"/>
      <c r="AV103" s="90"/>
      <c r="AW103" s="90"/>
      <c r="AX103" s="152"/>
      <c r="AY103" s="81"/>
      <c r="AZ103" s="89"/>
      <c r="BA103" s="90"/>
      <c r="BB103" s="90"/>
      <c r="BC103" s="90"/>
      <c r="BD103" s="90"/>
      <c r="BE103" s="90"/>
      <c r="BF103" s="90"/>
      <c r="BG103" s="90"/>
      <c r="BH103" s="90"/>
      <c r="BI103" s="90"/>
      <c r="BJ103" s="314"/>
    </row>
    <row r="104" spans="1:62" ht="13.5" x14ac:dyDescent="0.25">
      <c r="A104" s="314"/>
      <c r="B104" s="137" t="str">
        <f>IF(AB27&lt;&gt;100%,"UNIT VALUE ADD","")</f>
        <v/>
      </c>
      <c r="C104" s="153"/>
      <c r="D104" s="130"/>
      <c r="E104" s="163" t="str">
        <f>IF(AB27&lt;&gt;100%,(AB27-1),"")</f>
        <v/>
      </c>
      <c r="F104" s="168" t="str">
        <f>IF(AB27&lt;&gt;100%,IF(L104&lt;&gt;0,IF(L104&lt;0,"DECREASE","INCREASE"),"UNCHANGED"),"")</f>
        <v/>
      </c>
      <c r="G104" s="128"/>
      <c r="H104" s="151"/>
      <c r="I104" s="151"/>
      <c r="J104" s="137"/>
      <c r="K104" s="240" t="str">
        <f>IF(AB27&lt;&gt;100%,CONCATENATE("(",ROUND(AB27,2)*100,"% - ","100%) * ",ROUND(J60,2),X44," * ",ROUND(AJ45,2),AC23," ="),"")</f>
        <v/>
      </c>
      <c r="L104" s="122" t="str">
        <f>IF(AB27&lt;&gt;100%,ROUND(((AB27-1)*J60*AJ45)/LOOKUP(1,J28:J30,L28:L30),3),"")</f>
        <v/>
      </c>
      <c r="M104" s="159" t="str">
        <f>IF(AB27&lt;&gt;100%,CONCATENATE(LOOKUP(1,J28:J30,M28:M30)," pa"),"")</f>
        <v/>
      </c>
      <c r="N104" s="161" t="str">
        <f>IF(AB27&lt;&gt;100%,IF(L104&lt;&gt;0,IF(L104&lt;0,"LOSS","GAIN"),""),"")</f>
        <v/>
      </c>
      <c r="O104" s="116"/>
      <c r="P104" s="116"/>
      <c r="Q104" s="116"/>
      <c r="R104" s="116"/>
      <c r="S104" s="116"/>
      <c r="T104" s="116"/>
      <c r="U104" s="116"/>
      <c r="V104" s="90"/>
      <c r="W104" s="135"/>
      <c r="X104" s="123"/>
      <c r="Y104" s="123"/>
      <c r="Z104" s="123"/>
      <c r="AA104" s="123"/>
      <c r="AB104" s="123"/>
      <c r="AC104" s="123"/>
      <c r="AD104" s="123"/>
      <c r="AE104" s="123"/>
      <c r="AF104" s="123"/>
      <c r="AG104" s="123"/>
      <c r="AH104" s="123"/>
      <c r="AI104" s="123"/>
      <c r="AJ104" s="123"/>
      <c r="AK104" s="90"/>
      <c r="AL104" s="7"/>
      <c r="AM104" s="90"/>
      <c r="AN104" s="90"/>
      <c r="AO104" s="90"/>
      <c r="AP104" s="90"/>
      <c r="AQ104" s="90"/>
      <c r="AR104" s="90"/>
      <c r="AS104" s="90"/>
      <c r="AT104" s="90"/>
      <c r="AU104" s="90"/>
      <c r="AV104" s="90"/>
      <c r="AW104" s="90"/>
      <c r="AX104" s="90"/>
      <c r="AY104" s="90"/>
      <c r="AZ104" s="89"/>
      <c r="BA104" s="90"/>
      <c r="BB104" s="90"/>
      <c r="BC104" s="90"/>
      <c r="BD104" s="90"/>
      <c r="BE104" s="90"/>
      <c r="BF104" s="90"/>
      <c r="BG104" s="90"/>
      <c r="BH104" s="90"/>
      <c r="BI104" s="90"/>
      <c r="BJ104" s="314"/>
    </row>
    <row r="105" spans="1:62" ht="13.5" x14ac:dyDescent="0.25">
      <c r="A105" s="314"/>
      <c r="B105" s="117"/>
      <c r="C105" s="53"/>
      <c r="D105" s="117"/>
      <c r="E105" s="163"/>
      <c r="F105" s="158"/>
      <c r="G105" s="128"/>
      <c r="H105" s="130"/>
      <c r="I105" s="130"/>
      <c r="J105" s="137"/>
      <c r="K105" s="117" t="s">
        <v>77</v>
      </c>
      <c r="L105" s="122">
        <f>SUM(L102:L104)</f>
        <v>-0.12994520547945204</v>
      </c>
      <c r="M105" s="159" t="str">
        <f>CONCATENATE(LOOKUP(1,J28:J30,M28:M30)," pa")</f>
        <v>MUSD pa</v>
      </c>
      <c r="N105" s="162" t="str">
        <f>IF(L105&lt;&gt;0,IF(L105&lt;0,"LOSS","GAIN"),"")</f>
        <v>LOSS</v>
      </c>
      <c r="O105" s="116"/>
      <c r="P105" s="116"/>
      <c r="Q105" s="116"/>
      <c r="R105" s="116"/>
      <c r="S105" s="116"/>
      <c r="T105" s="116"/>
      <c r="U105" s="116"/>
      <c r="V105" s="90"/>
      <c r="W105" s="135"/>
      <c r="X105" s="123"/>
      <c r="Y105" s="123"/>
      <c r="Z105" s="123"/>
      <c r="AA105" s="123"/>
      <c r="AB105" s="123"/>
      <c r="AC105" s="123"/>
      <c r="AD105" s="123"/>
      <c r="AE105" s="123"/>
      <c r="AF105" s="123"/>
      <c r="AG105" s="123"/>
      <c r="AH105" s="123"/>
      <c r="AI105" s="123"/>
      <c r="AJ105" s="123"/>
      <c r="AK105" s="90"/>
      <c r="AL105" s="7"/>
      <c r="AM105" s="86"/>
      <c r="AN105" s="15"/>
      <c r="AO105" s="15"/>
      <c r="AP105" s="15"/>
      <c r="AQ105" s="15"/>
      <c r="AR105" s="15"/>
      <c r="AS105" s="15"/>
      <c r="AT105" s="15"/>
      <c r="AU105" s="15"/>
      <c r="AV105" s="15"/>
      <c r="AW105" s="15"/>
      <c r="AX105" s="15"/>
      <c r="AY105" s="15"/>
      <c r="AZ105" s="20"/>
      <c r="BA105" s="7"/>
      <c r="BB105" s="7"/>
      <c r="BC105" s="7"/>
      <c r="BD105" s="7"/>
      <c r="BE105" s="7"/>
      <c r="BF105" s="7"/>
      <c r="BG105" s="7"/>
      <c r="BH105" s="7"/>
      <c r="BI105" s="7"/>
      <c r="BJ105" s="314"/>
    </row>
    <row r="106" spans="1:62" ht="13.5" x14ac:dyDescent="0.25">
      <c r="A106" s="314"/>
      <c r="B106" s="154"/>
      <c r="C106" s="153"/>
      <c r="D106" s="154"/>
      <c r="E106" s="154"/>
      <c r="F106" s="154"/>
      <c r="G106" s="154"/>
      <c r="H106" s="154"/>
      <c r="I106" s="137"/>
      <c r="J106" s="137"/>
      <c r="K106" s="137"/>
      <c r="L106" s="137"/>
      <c r="M106" s="137"/>
      <c r="N106" s="137"/>
      <c r="O106" s="116"/>
      <c r="P106" s="116"/>
      <c r="Q106" s="116"/>
      <c r="R106" s="116"/>
      <c r="S106" s="116"/>
      <c r="T106" s="116"/>
      <c r="U106" s="116"/>
      <c r="V106" s="90"/>
      <c r="W106" s="135"/>
      <c r="X106" s="123"/>
      <c r="Y106" s="123"/>
      <c r="Z106" s="123"/>
      <c r="AA106" s="123"/>
      <c r="AB106" s="123"/>
      <c r="AC106" s="123"/>
      <c r="AD106" s="123"/>
      <c r="AE106" s="123"/>
      <c r="AF106" s="123"/>
      <c r="AG106" s="123"/>
      <c r="AH106" s="123"/>
      <c r="AI106" s="123"/>
      <c r="AJ106" s="123"/>
      <c r="AK106" s="90"/>
      <c r="AL106" s="7"/>
      <c r="AM106" s="90"/>
      <c r="AN106" s="90"/>
      <c r="AO106" s="90"/>
      <c r="AP106" s="90"/>
      <c r="AQ106" s="90"/>
      <c r="AR106" s="90"/>
      <c r="AS106" s="90"/>
      <c r="AT106" s="90"/>
      <c r="AU106" s="90"/>
      <c r="AV106" s="90"/>
      <c r="AW106" s="90"/>
      <c r="AX106" s="90"/>
      <c r="AY106" s="90"/>
      <c r="AZ106" s="89"/>
      <c r="BA106" s="90"/>
      <c r="BB106" s="90"/>
      <c r="BC106" s="90"/>
      <c r="BD106" s="90"/>
      <c r="BE106" s="90"/>
      <c r="BF106" s="90"/>
      <c r="BG106" s="90"/>
      <c r="BH106" s="90"/>
      <c r="BI106" s="90"/>
      <c r="BJ106" s="314"/>
    </row>
    <row r="107" spans="1:62" ht="13.5" x14ac:dyDescent="0.25">
      <c r="A107" s="155"/>
      <c r="B107" s="9"/>
      <c r="C107" s="9"/>
      <c r="D107" s="9"/>
      <c r="E107" s="9"/>
      <c r="F107" s="9"/>
      <c r="G107" s="9"/>
      <c r="H107" s="9"/>
      <c r="I107" s="9"/>
      <c r="J107" s="116"/>
      <c r="K107" s="116"/>
      <c r="L107" s="116"/>
      <c r="M107" s="116"/>
      <c r="N107" s="116"/>
      <c r="O107" s="116"/>
      <c r="P107" s="116"/>
      <c r="Q107" s="116"/>
      <c r="R107" s="116"/>
      <c r="S107" s="116"/>
      <c r="T107" s="116"/>
      <c r="U107" s="116"/>
      <c r="V107" s="90"/>
      <c r="W107" s="135"/>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sheetData>
  <sheetProtection selectLockedCells="1"/>
  <mergeCells count="14">
    <mergeCell ref="X33:Z35"/>
    <mergeCell ref="X36:Z38"/>
    <mergeCell ref="A1:BJ1"/>
    <mergeCell ref="A58:A106"/>
    <mergeCell ref="BJ58:BJ106"/>
    <mergeCell ref="AQ97:AY97"/>
    <mergeCell ref="A3:A54"/>
    <mergeCell ref="B3:AJ3"/>
    <mergeCell ref="BJ3:BJ54"/>
    <mergeCell ref="I5:U5"/>
    <mergeCell ref="X5:AJ5"/>
    <mergeCell ref="AM5:AY5"/>
    <mergeCell ref="B6:C6"/>
    <mergeCell ref="E6:G6"/>
  </mergeCells>
  <conditionalFormatting sqref="B8:C8">
    <cfRule type="expression" dxfId="107" priority="9" stopIfTrue="1">
      <formula>COUNT(B9:B11)&lt;&gt;1</formula>
    </cfRule>
  </conditionalFormatting>
  <conditionalFormatting sqref="T6">
    <cfRule type="expression" dxfId="106" priority="10" stopIfTrue="1">
      <formula>Z6=0</formula>
    </cfRule>
  </conditionalFormatting>
  <conditionalFormatting sqref="AX27:AY27">
    <cfRule type="expression" dxfId="105" priority="11" stopIfTrue="1">
      <formula>BD29=0</formula>
    </cfRule>
  </conditionalFormatting>
  <conditionalFormatting sqref="B22:C22">
    <cfRule type="expression" dxfId="104" priority="12" stopIfTrue="1">
      <formula>COUNT(B23:F26)&lt;&gt;1</formula>
    </cfRule>
  </conditionalFormatting>
  <conditionalFormatting sqref="F22:G22">
    <cfRule type="expression" dxfId="103" priority="13" stopIfTrue="1">
      <formula>COUNT(F27:G30)&lt;&gt;1</formula>
    </cfRule>
  </conditionalFormatting>
  <conditionalFormatting sqref="D22">
    <cfRule type="expression" dxfId="102" priority="14" stopIfTrue="1">
      <formula>COUNT(D27:G30)&lt;&gt;1</formula>
    </cfRule>
  </conditionalFormatting>
  <conditionalFormatting sqref="E22">
    <cfRule type="expression" dxfId="101" priority="15" stopIfTrue="1">
      <formula>COUNT(E27:G30)&lt;&gt;1</formula>
    </cfRule>
  </conditionalFormatting>
  <conditionalFormatting sqref="X39:AC39">
    <cfRule type="expression" dxfId="100" priority="16" stopIfTrue="1">
      <formula>$C$16&lt;&gt;1</formula>
    </cfRule>
  </conditionalFormatting>
  <conditionalFormatting sqref="E65:E78 F58:F106 E97:E106 E81:E94 G67:H106 G58:H65 E58:E62 B58 B60:B106 C58:D106 J106:N106 V91:W91 V75:X75 P60:U106 I58:U59 J61:J75 K61:L61 J60:L60 M60:N61 K74:N75 L68:N68 N77 K62:K72 N85 J89 L89 N90:N93 M95:M105 J94:L105 O60:O107 J90:M91 J93:M93 I60:I106 J92:L92 L62:L67 M63:M67 L69:L73 M70:M73 J76:M77 J78:L88 M79:M89">
    <cfRule type="expression" dxfId="99" priority="17" stopIfTrue="1">
      <formula>$C$15&lt;&gt;1</formula>
    </cfRule>
  </conditionalFormatting>
  <conditionalFormatting sqref="E63:E64 E79:E80 E95:E96 G66:H66 N76 N63:N67 N70:N73 N79:N84 N86:N89 N95:N105">
    <cfRule type="expression" dxfId="98" priority="18" stopIfTrue="1">
      <formula>$C$15&lt;&gt;1</formula>
    </cfRule>
  </conditionalFormatting>
  <conditionalFormatting sqref="B44:U44 W32:W44 B32:H43">
    <cfRule type="expression" dxfId="97" priority="19" stopIfTrue="1">
      <formula>$C$16&lt;&gt;1</formula>
    </cfRule>
  </conditionalFormatting>
  <conditionalFormatting sqref="M36 I38:L39 M38 M39:N39 N36:N38 J36:L37 I40:N43 J32:N35 I32:I37">
    <cfRule type="expression" dxfId="96" priority="20" stopIfTrue="1">
      <formula>$C$15&lt;&gt;1</formula>
    </cfRule>
  </conditionalFormatting>
  <conditionalFormatting sqref="M37">
    <cfRule type="expression" dxfId="95" priority="21" stopIfTrue="1">
      <formula>$C$15&lt;&gt;1</formula>
    </cfRule>
  </conditionalFormatting>
  <conditionalFormatting sqref="AM27">
    <cfRule type="expression" dxfId="94" priority="22" stopIfTrue="1">
      <formula>#REF!=0</formula>
    </cfRule>
  </conditionalFormatting>
  <conditionalFormatting sqref="AY20:AY21">
    <cfRule type="cellIs" dxfId="93" priority="24" stopIfTrue="1" operator="notEqual">
      <formula>1</formula>
    </cfRule>
  </conditionalFormatting>
  <conditionalFormatting sqref="Z6:AI6">
    <cfRule type="expression" dxfId="92" priority="25" stopIfTrue="1">
      <formula>#REF!=0</formula>
    </cfRule>
  </conditionalFormatting>
  <conditionalFormatting sqref="U20:V21 AJ20:AL21 U22:U43 AJ22:AJ44">
    <cfRule type="cellIs" dxfId="91" priority="26" stopIfTrue="1" operator="notEqual">
      <formula>1</formula>
    </cfRule>
    <cfRule type="cellIs" priority="27" stopIfTrue="1" operator="equal">
      <formula>1</formula>
    </cfRule>
  </conditionalFormatting>
  <conditionalFormatting sqref="S6">
    <cfRule type="expression" dxfId="90" priority="28" stopIfTrue="1">
      <formula>Z6=0</formula>
    </cfRule>
  </conditionalFormatting>
  <conditionalFormatting sqref="R6">
    <cfRule type="expression" dxfId="89" priority="29" stopIfTrue="1">
      <formula>Z6=0</formula>
    </cfRule>
  </conditionalFormatting>
  <conditionalFormatting sqref="I6:P6">
    <cfRule type="expression" dxfId="88" priority="30" stopIfTrue="1">
      <formula>U6=0</formula>
    </cfRule>
  </conditionalFormatting>
  <conditionalFormatting sqref="Q6">
    <cfRule type="expression" dxfId="87" priority="33" stopIfTrue="1">
      <formula>AI6=0</formula>
    </cfRule>
  </conditionalFormatting>
  <conditionalFormatting sqref="X6:Y6">
    <cfRule type="expression" dxfId="86" priority="34" stopIfTrue="1">
      <formula>AJ6=0</formula>
    </cfRule>
  </conditionalFormatting>
  <conditionalFormatting sqref="K73">
    <cfRule type="expression" dxfId="85" priority="6" stopIfTrue="1">
      <formula>$C$15&lt;&gt;1</formula>
    </cfRule>
  </conditionalFormatting>
  <conditionalFormatting sqref="K89">
    <cfRule type="expression" dxfId="84" priority="5" stopIfTrue="1">
      <formula>$C$15&lt;&gt;1</formula>
    </cfRule>
  </conditionalFormatting>
  <conditionalFormatting sqref="M92">
    <cfRule type="expression" dxfId="83" priority="4" stopIfTrue="1">
      <formula>$C$15&lt;&gt;1</formula>
    </cfRule>
  </conditionalFormatting>
  <conditionalFormatting sqref="I22:N27">
    <cfRule type="expression" dxfId="82" priority="3">
      <formula>$C$15&lt;&gt;1</formula>
    </cfRule>
  </conditionalFormatting>
  <conditionalFormatting sqref="X22:AC25">
    <cfRule type="expression" dxfId="81" priority="2">
      <formula>$C$15&lt;&gt;1</formula>
    </cfRule>
  </conditionalFormatting>
  <conditionalFormatting sqref="B19:D19">
    <cfRule type="expression" dxfId="80" priority="1">
      <formula>$C$15=1</formula>
    </cfRule>
  </conditionalFormatting>
  <conditionalFormatting sqref="AW27">
    <cfRule type="expression" dxfId="79" priority="35" stopIfTrue="1">
      <formula>BD29=0</formula>
    </cfRule>
  </conditionalFormatting>
  <conditionalFormatting sqref="AV27">
    <cfRule type="expression" dxfId="78" priority="36" stopIfTrue="1">
      <formula>BD29=0</formula>
    </cfRule>
  </conditionalFormatting>
  <conditionalFormatting sqref="AT27:AU27">
    <cfRule type="expression" dxfId="77" priority="37" stopIfTrue="1">
      <formula>BD29=0</formula>
    </cfRule>
  </conditionalFormatting>
  <conditionalFormatting sqref="AN27:AS27">
    <cfRule type="expression" dxfId="76" priority="38" stopIfTrue="1">
      <formula>AZ29=0</formula>
    </cfRule>
  </conditionalFormatting>
  <printOptions horizontalCentered="1"/>
  <pageMargins left="0.25" right="0.25" top="0.75" bottom="0.75" header="0.3" footer="0.3"/>
  <pageSetup paperSize="9" scale="84" fitToHeight="0" orientation="landscape" r:id="rId1"/>
  <headerFooter>
    <oddHeader>&amp;L&amp;"Arial Black,Regular"&amp;12INTERNAL BENEFITS ASSESSMENT&amp;C&amp;"Arial Black,Regular"&amp;8print-out date : &amp;D&amp;R&amp;"Arial Black,Regular"&amp;12PROPRIETARY</oddHeader>
    <oddFooter>&amp;L&amp;"Arial Black,Regular"&amp;8Page &amp;P of &amp;N&amp;R&amp;"Arial Black,Regular"&amp;8&amp;F - &amp;A</oddFooter>
  </headerFooter>
  <rowBreaks count="1" manualBreakCount="1">
    <brk id="56" max="16383" man="1"/>
  </rowBreaks>
  <ignoredErrors>
    <ignoredError sqref="N104 N88 N72" 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indexed="9"/>
    <pageSetUpPr fitToPage="1"/>
  </sheetPr>
  <dimension ref="A1:Q91"/>
  <sheetViews>
    <sheetView showGridLines="0" workbookViewId="0">
      <selection activeCell="C23" sqref="C23"/>
    </sheetView>
  </sheetViews>
  <sheetFormatPr defaultColWidth="9.140625" defaultRowHeight="15.75" x14ac:dyDescent="0.2"/>
  <cols>
    <col min="1" max="1" width="5.85546875" style="247" bestFit="1" customWidth="1"/>
    <col min="2" max="2" width="31.140625" style="247" customWidth="1"/>
    <col min="3" max="3" width="22.5703125" style="247" customWidth="1"/>
    <col min="4" max="4" width="11.42578125" style="247" customWidth="1"/>
    <col min="5" max="5" width="18.5703125" style="291" customWidth="1"/>
    <col min="6" max="6" width="10.5703125" style="291" bestFit="1" customWidth="1"/>
    <col min="7" max="7" width="11.42578125" style="291" bestFit="1" customWidth="1"/>
    <col min="8" max="8" width="12.5703125" style="247" bestFit="1" customWidth="1"/>
    <col min="9" max="9" width="13.42578125" style="247" bestFit="1" customWidth="1"/>
    <col min="10" max="11" width="13.5703125" style="247" bestFit="1" customWidth="1"/>
    <col min="12" max="12" width="2.42578125" style="247" hidden="1" customWidth="1"/>
    <col min="13" max="13" width="28.85546875" style="247" hidden="1" customWidth="1"/>
    <col min="14" max="14" width="4.5703125" style="297" bestFit="1" customWidth="1"/>
    <col min="15" max="16384" width="9.140625" style="247"/>
  </cols>
  <sheetData>
    <row r="1" spans="1:17" ht="36" customHeight="1" x14ac:dyDescent="0.2">
      <c r="A1" s="328" t="s">
        <v>190</v>
      </c>
      <c r="B1" s="329"/>
      <c r="C1" s="329"/>
      <c r="D1" s="329"/>
      <c r="E1" s="329"/>
      <c r="F1" s="329"/>
      <c r="G1" s="329"/>
      <c r="H1" s="329"/>
      <c r="I1" s="329"/>
      <c r="J1" s="329"/>
      <c r="K1" s="329"/>
      <c r="L1" s="329"/>
      <c r="M1" s="329"/>
      <c r="N1" s="329"/>
    </row>
    <row r="2" spans="1:17" ht="3" customHeight="1" x14ac:dyDescent="0.2">
      <c r="A2" s="248"/>
      <c r="B2" s="248"/>
      <c r="C2" s="248"/>
      <c r="D2" s="248"/>
      <c r="E2" s="1"/>
      <c r="F2" s="1"/>
      <c r="G2" s="1"/>
      <c r="H2" s="248"/>
      <c r="I2" s="248"/>
      <c r="J2" s="248"/>
      <c r="K2" s="248"/>
      <c r="L2" s="248"/>
      <c r="M2" s="248"/>
      <c r="N2" s="249"/>
    </row>
    <row r="3" spans="1:17" x14ac:dyDescent="0.2">
      <c r="A3" s="248"/>
      <c r="B3" s="330" t="s">
        <v>108</v>
      </c>
      <c r="C3" s="331"/>
      <c r="D3" s="331"/>
      <c r="E3" s="331"/>
      <c r="F3" s="331"/>
      <c r="G3" s="331"/>
      <c r="H3" s="331"/>
      <c r="I3" s="331"/>
      <c r="J3" s="331"/>
      <c r="K3" s="332"/>
      <c r="L3" s="248"/>
      <c r="M3" s="248"/>
      <c r="N3" s="249"/>
    </row>
    <row r="4" spans="1:17" ht="3" customHeight="1" x14ac:dyDescent="0.2">
      <c r="A4" s="248"/>
      <c r="B4" s="248"/>
      <c r="C4" s="248"/>
      <c r="D4" s="248"/>
      <c r="E4" s="1"/>
      <c r="F4" s="1"/>
      <c r="G4" s="1"/>
      <c r="H4" s="248"/>
      <c r="I4" s="248"/>
      <c r="J4" s="248"/>
      <c r="K4" s="248"/>
      <c r="L4" s="248"/>
      <c r="M4" s="248"/>
      <c r="N4" s="249"/>
    </row>
    <row r="5" spans="1:17" s="252" customFormat="1" ht="12.75" x14ac:dyDescent="0.2">
      <c r="A5" s="250"/>
      <c r="B5" s="251"/>
      <c r="C5" s="251"/>
      <c r="D5" s="251" t="s">
        <v>109</v>
      </c>
      <c r="E5" s="251"/>
      <c r="F5" s="251"/>
      <c r="G5" s="251"/>
      <c r="H5" s="251"/>
      <c r="I5" s="251"/>
      <c r="J5" s="251"/>
      <c r="K5" s="251"/>
      <c r="N5" s="317" t="s">
        <v>62</v>
      </c>
    </row>
    <row r="6" spans="1:17" s="259" customFormat="1" ht="15.75" customHeight="1" x14ac:dyDescent="0.2">
      <c r="A6" s="253"/>
      <c r="B6" s="254" t="s">
        <v>110</v>
      </c>
      <c r="C6" s="255"/>
      <c r="D6" s="254"/>
      <c r="E6" s="255"/>
      <c r="F6" s="255"/>
      <c r="G6" s="255"/>
      <c r="H6" s="255"/>
      <c r="I6" s="256"/>
      <c r="J6" s="256"/>
      <c r="K6" s="256"/>
      <c r="L6" s="257">
        <v>1</v>
      </c>
      <c r="M6" s="258"/>
      <c r="N6" s="317"/>
    </row>
    <row r="7" spans="1:17" s="259" customFormat="1" ht="15.75" customHeight="1" x14ac:dyDescent="0.2">
      <c r="A7" s="255"/>
      <c r="B7" s="255" t="s">
        <v>111</v>
      </c>
      <c r="C7" s="255" t="s">
        <v>112</v>
      </c>
      <c r="D7" s="255" t="s">
        <v>113</v>
      </c>
      <c r="E7" s="255" t="s">
        <v>114</v>
      </c>
      <c r="F7" s="255" t="s">
        <v>115</v>
      </c>
      <c r="G7" s="255" t="s">
        <v>116</v>
      </c>
      <c r="H7" s="260" t="s">
        <v>59</v>
      </c>
      <c r="I7" s="260" t="s">
        <v>117</v>
      </c>
      <c r="J7" s="260" t="s">
        <v>118</v>
      </c>
      <c r="K7" s="260" t="s">
        <v>119</v>
      </c>
      <c r="L7" s="257">
        <v>2</v>
      </c>
      <c r="M7" s="258" t="s">
        <v>120</v>
      </c>
      <c r="N7" s="317"/>
      <c r="P7" s="247"/>
      <c r="Q7" s="247"/>
    </row>
    <row r="8" spans="1:17" ht="15.75" customHeight="1" x14ac:dyDescent="0.2">
      <c r="A8" s="333" t="s">
        <v>121</v>
      </c>
      <c r="B8" s="261">
        <v>1</v>
      </c>
      <c r="C8" s="261"/>
      <c r="D8" s="261"/>
      <c r="E8" s="262"/>
      <c r="F8" s="253"/>
      <c r="G8" s="253"/>
      <c r="H8" s="253"/>
      <c r="I8" s="253"/>
      <c r="J8" s="263"/>
      <c r="K8" s="263"/>
      <c r="L8" s="257">
        <v>3</v>
      </c>
      <c r="M8" s="247" t="str">
        <f>""</f>
        <v/>
      </c>
      <c r="N8" s="317"/>
    </row>
    <row r="9" spans="1:17" ht="15.75" customHeight="1" x14ac:dyDescent="0.2">
      <c r="A9" s="333"/>
      <c r="B9" s="261">
        <v>1</v>
      </c>
      <c r="C9" s="261"/>
      <c r="D9" s="261"/>
      <c r="E9" s="261"/>
      <c r="F9" s="263"/>
      <c r="G9" s="263"/>
      <c r="H9" s="263"/>
      <c r="I9" s="263"/>
      <c r="J9" s="263"/>
      <c r="K9" s="263"/>
      <c r="L9" s="257">
        <v>4</v>
      </c>
      <c r="M9" s="258" t="s">
        <v>122</v>
      </c>
      <c r="N9" s="317"/>
    </row>
    <row r="10" spans="1:17" ht="15.75" customHeight="1" x14ac:dyDescent="0.2">
      <c r="A10" s="333"/>
      <c r="B10" s="261">
        <v>1</v>
      </c>
      <c r="C10" s="261"/>
      <c r="D10" s="261"/>
      <c r="E10" s="261"/>
      <c r="F10" s="263"/>
      <c r="G10" s="263"/>
      <c r="H10" s="263"/>
      <c r="I10" s="263"/>
      <c r="J10" s="263"/>
      <c r="K10" s="263"/>
      <c r="L10" s="257">
        <v>5</v>
      </c>
      <c r="M10" s="247" t="s">
        <v>123</v>
      </c>
      <c r="N10" s="317"/>
    </row>
    <row r="11" spans="1:17" ht="15.75" customHeight="1" x14ac:dyDescent="0.2">
      <c r="A11" s="333"/>
      <c r="B11" s="261">
        <v>1</v>
      </c>
      <c r="C11" s="261"/>
      <c r="D11" s="261"/>
      <c r="E11" s="261"/>
      <c r="F11" s="263"/>
      <c r="G11" s="263"/>
      <c r="H11" s="263"/>
      <c r="I11" s="263"/>
      <c r="J11" s="263"/>
      <c r="K11" s="263"/>
      <c r="L11" s="257">
        <v>6</v>
      </c>
      <c r="M11" s="247" t="s">
        <v>124</v>
      </c>
      <c r="N11" s="317"/>
    </row>
    <row r="12" spans="1:17" ht="15.75" customHeight="1" x14ac:dyDescent="0.2">
      <c r="A12" s="333"/>
      <c r="B12" s="261">
        <v>1</v>
      </c>
      <c r="C12" s="261"/>
      <c r="D12" s="261"/>
      <c r="E12" s="261"/>
      <c r="F12" s="263"/>
      <c r="G12" s="263"/>
      <c r="H12" s="263"/>
      <c r="I12" s="263"/>
      <c r="J12" s="263"/>
      <c r="K12" s="263"/>
      <c r="L12" s="257">
        <v>7</v>
      </c>
      <c r="M12" s="247" t="s">
        <v>125</v>
      </c>
      <c r="N12" s="317"/>
    </row>
    <row r="13" spans="1:17" ht="15.75" customHeight="1" x14ac:dyDescent="0.2">
      <c r="A13" s="333"/>
      <c r="B13" s="261">
        <v>1</v>
      </c>
      <c r="C13" s="261"/>
      <c r="D13" s="261"/>
      <c r="E13" s="261"/>
      <c r="F13" s="263"/>
      <c r="G13" s="263"/>
      <c r="H13" s="263"/>
      <c r="I13" s="263"/>
      <c r="J13" s="263"/>
      <c r="K13" s="263"/>
      <c r="L13" s="257">
        <v>8</v>
      </c>
      <c r="M13" s="247" t="s">
        <v>126</v>
      </c>
      <c r="N13" s="317"/>
    </row>
    <row r="14" spans="1:17" ht="15.75" customHeight="1" x14ac:dyDescent="0.2">
      <c r="A14" s="333"/>
      <c r="B14" s="261">
        <v>1</v>
      </c>
      <c r="C14" s="261"/>
      <c r="D14" s="261"/>
      <c r="E14" s="261"/>
      <c r="F14" s="263"/>
      <c r="G14" s="263"/>
      <c r="H14" s="263"/>
      <c r="I14" s="263"/>
      <c r="J14" s="263"/>
      <c r="K14" s="263"/>
      <c r="L14" s="257">
        <v>9</v>
      </c>
      <c r="M14" s="247" t="s">
        <v>127</v>
      </c>
      <c r="N14" s="317"/>
    </row>
    <row r="15" spans="1:17" ht="15.75" customHeight="1" x14ac:dyDescent="0.2">
      <c r="A15" s="333"/>
      <c r="B15" s="261">
        <v>1</v>
      </c>
      <c r="C15" s="261"/>
      <c r="D15" s="261"/>
      <c r="E15" s="261"/>
      <c r="F15" s="263"/>
      <c r="G15" s="263"/>
      <c r="H15" s="263"/>
      <c r="I15" s="263"/>
      <c r="J15" s="263"/>
      <c r="K15" s="263"/>
      <c r="L15" s="257">
        <v>10</v>
      </c>
      <c r="M15" s="247" t="s">
        <v>128</v>
      </c>
      <c r="N15" s="317"/>
    </row>
    <row r="16" spans="1:17" ht="3" customHeight="1" x14ac:dyDescent="0.2">
      <c r="A16" s="264"/>
      <c r="B16" s="1"/>
      <c r="C16" s="1"/>
      <c r="D16" s="1"/>
      <c r="E16" s="1"/>
      <c r="F16" s="1"/>
      <c r="G16" s="1"/>
      <c r="H16" s="1"/>
      <c r="I16" s="248" t="str">
        <f>""</f>
        <v/>
      </c>
      <c r="J16" s="1"/>
      <c r="K16" s="1"/>
      <c r="L16" s="257">
        <v>11</v>
      </c>
      <c r="M16" s="247" t="s">
        <v>129</v>
      </c>
      <c r="N16" s="317"/>
    </row>
    <row r="17" spans="1:17" s="252" customFormat="1" ht="12.75" x14ac:dyDescent="0.2">
      <c r="A17" s="250"/>
      <c r="B17" s="251"/>
      <c r="C17" s="251"/>
      <c r="D17" s="251" t="s">
        <v>130</v>
      </c>
      <c r="E17" s="251"/>
      <c r="F17" s="251"/>
      <c r="G17" s="251"/>
      <c r="H17" s="251"/>
      <c r="I17" s="251"/>
      <c r="J17" s="251"/>
      <c r="K17" s="251"/>
      <c r="L17" s="257">
        <v>12</v>
      </c>
      <c r="M17" s="247" t="str">
        <f>""</f>
        <v/>
      </c>
      <c r="N17" s="317"/>
    </row>
    <row r="18" spans="1:17" s="259" customFormat="1" ht="15.75" customHeight="1" x14ac:dyDescent="0.2">
      <c r="A18" s="253"/>
      <c r="B18" s="254" t="s">
        <v>131</v>
      </c>
      <c r="C18" s="255"/>
      <c r="D18" s="254"/>
      <c r="E18" s="255"/>
      <c r="F18" s="255" t="str">
        <f t="shared" ref="F18:K18" si="0">IF(F$6="","",F$6)</f>
        <v/>
      </c>
      <c r="G18" s="255" t="str">
        <f t="shared" si="0"/>
        <v/>
      </c>
      <c r="H18" s="255" t="str">
        <f t="shared" si="0"/>
        <v/>
      </c>
      <c r="I18" s="334" t="str">
        <f t="shared" si="0"/>
        <v/>
      </c>
      <c r="J18" s="334" t="str">
        <f t="shared" si="0"/>
        <v/>
      </c>
      <c r="K18" s="334" t="str">
        <f t="shared" si="0"/>
        <v/>
      </c>
      <c r="L18" s="257">
        <v>13</v>
      </c>
      <c r="M18" s="247" t="s">
        <v>132</v>
      </c>
      <c r="N18" s="317"/>
    </row>
    <row r="19" spans="1:17" s="259" customFormat="1" ht="15.75" customHeight="1" x14ac:dyDescent="0.2">
      <c r="A19" s="255"/>
      <c r="B19" s="255" t="s">
        <v>111</v>
      </c>
      <c r="C19" s="255" t="s">
        <v>112</v>
      </c>
      <c r="D19" s="255" t="s">
        <v>113</v>
      </c>
      <c r="E19" s="255" t="s">
        <v>114</v>
      </c>
      <c r="F19" s="255" t="s">
        <v>115</v>
      </c>
      <c r="G19" s="255" t="s">
        <v>116</v>
      </c>
      <c r="H19" s="255" t="str">
        <f>IF(H$7="","",H$7)</f>
        <v>REFERENCE</v>
      </c>
      <c r="I19" s="255" t="str">
        <f>IF(I$7="","",I$7)</f>
        <v>EMC ALT. #1</v>
      </c>
      <c r="J19" s="255" t="str">
        <f>IF(J$7="","",J$7)</f>
        <v>EMC ALT. #2</v>
      </c>
      <c r="K19" s="255" t="str">
        <f>IF(K$7="","",K$7)</f>
        <v>EMC ALT. #3</v>
      </c>
      <c r="L19" s="257">
        <v>14</v>
      </c>
      <c r="M19" s="258" t="s">
        <v>133</v>
      </c>
      <c r="N19" s="317"/>
      <c r="P19" s="247"/>
      <c r="Q19" s="247"/>
    </row>
    <row r="20" spans="1:17" ht="15.75" customHeight="1" x14ac:dyDescent="0.2">
      <c r="A20" s="333" t="s">
        <v>121</v>
      </c>
      <c r="B20" s="253">
        <v>1</v>
      </c>
      <c r="C20" s="261"/>
      <c r="D20" s="265"/>
      <c r="E20" s="261"/>
      <c r="F20" s="263"/>
      <c r="G20" s="263"/>
      <c r="H20" s="263"/>
      <c r="I20" s="263"/>
      <c r="J20" s="263"/>
      <c r="K20" s="263"/>
      <c r="L20" s="257">
        <v>15</v>
      </c>
      <c r="M20" s="247" t="s">
        <v>134</v>
      </c>
      <c r="N20" s="317"/>
    </row>
    <row r="21" spans="1:17" ht="15.75" customHeight="1" x14ac:dyDescent="0.2">
      <c r="A21" s="333"/>
      <c r="B21" s="253">
        <v>1</v>
      </c>
      <c r="C21" s="261"/>
      <c r="D21" s="265"/>
      <c r="E21" s="262"/>
      <c r="F21" s="263"/>
      <c r="G21" s="263"/>
      <c r="H21" s="263"/>
      <c r="I21" s="263"/>
      <c r="J21" s="263"/>
      <c r="K21" s="263"/>
      <c r="L21" s="257">
        <v>16</v>
      </c>
      <c r="M21" s="258" t="s">
        <v>135</v>
      </c>
      <c r="N21" s="317"/>
    </row>
    <row r="22" spans="1:17" ht="15.75" customHeight="1" x14ac:dyDescent="0.2">
      <c r="A22" s="333"/>
      <c r="B22" s="253">
        <v>1</v>
      </c>
      <c r="C22" s="261"/>
      <c r="D22" s="265"/>
      <c r="E22" s="261"/>
      <c r="F22" s="263"/>
      <c r="G22" s="263"/>
      <c r="H22" s="263"/>
      <c r="I22" s="263"/>
      <c r="J22" s="263"/>
      <c r="K22" s="263"/>
      <c r="L22" s="257">
        <v>17</v>
      </c>
      <c r="M22" s="258" t="s">
        <v>136</v>
      </c>
      <c r="N22" s="317"/>
    </row>
    <row r="23" spans="1:17" ht="15.75" customHeight="1" x14ac:dyDescent="0.2">
      <c r="A23" s="333"/>
      <c r="B23" s="261">
        <v>1</v>
      </c>
      <c r="C23" s="261"/>
      <c r="D23" s="265"/>
      <c r="E23" s="261"/>
      <c r="F23" s="263"/>
      <c r="G23" s="263"/>
      <c r="H23" s="263"/>
      <c r="I23" s="263"/>
      <c r="J23" s="263"/>
      <c r="K23" s="263"/>
      <c r="L23" s="257">
        <v>18</v>
      </c>
      <c r="M23" s="258" t="s">
        <v>137</v>
      </c>
      <c r="N23" s="317"/>
    </row>
    <row r="24" spans="1:17" ht="15.75" customHeight="1" x14ac:dyDescent="0.2">
      <c r="A24" s="333"/>
      <c r="B24" s="261">
        <v>1</v>
      </c>
      <c r="C24" s="261"/>
      <c r="D24" s="265"/>
      <c r="E24" s="262"/>
      <c r="F24" s="263"/>
      <c r="G24" s="263"/>
      <c r="H24" s="263"/>
      <c r="I24" s="263"/>
      <c r="J24" s="263"/>
      <c r="K24" s="263"/>
      <c r="L24" s="257">
        <v>19</v>
      </c>
      <c r="M24" s="258" t="s">
        <v>138</v>
      </c>
      <c r="N24" s="317"/>
    </row>
    <row r="25" spans="1:17" ht="15.75" customHeight="1" x14ac:dyDescent="0.2">
      <c r="A25" s="333"/>
      <c r="B25" s="261">
        <v>1</v>
      </c>
      <c r="C25" s="261"/>
      <c r="D25" s="265"/>
      <c r="E25" s="262"/>
      <c r="F25" s="263"/>
      <c r="G25" s="263"/>
      <c r="H25" s="263"/>
      <c r="I25" s="263"/>
      <c r="J25" s="263"/>
      <c r="K25" s="263"/>
      <c r="L25" s="257">
        <v>20</v>
      </c>
      <c r="M25" s="247" t="s">
        <v>139</v>
      </c>
      <c r="N25" s="317"/>
    </row>
    <row r="26" spans="1:17" ht="15.75" customHeight="1" x14ac:dyDescent="0.2">
      <c r="A26" s="333"/>
      <c r="B26" s="261">
        <v>1</v>
      </c>
      <c r="C26" s="261"/>
      <c r="D26" s="265"/>
      <c r="E26" s="261"/>
      <c r="F26" s="263"/>
      <c r="G26" s="263"/>
      <c r="H26" s="263"/>
      <c r="I26" s="263"/>
      <c r="J26" s="263"/>
      <c r="K26" s="263"/>
      <c r="L26" s="257">
        <v>21</v>
      </c>
      <c r="M26" s="247" t="s">
        <v>140</v>
      </c>
      <c r="N26" s="317"/>
    </row>
    <row r="27" spans="1:17" ht="15.75" customHeight="1" x14ac:dyDescent="0.2">
      <c r="A27" s="333"/>
      <c r="B27" s="261">
        <v>1</v>
      </c>
      <c r="C27" s="261"/>
      <c r="D27" s="265"/>
      <c r="E27" s="261"/>
      <c r="F27" s="263"/>
      <c r="G27" s="263"/>
      <c r="H27" s="263"/>
      <c r="I27" s="263"/>
      <c r="J27" s="263"/>
      <c r="K27" s="263"/>
      <c r="L27" s="257">
        <v>22</v>
      </c>
      <c r="M27" s="247" t="str">
        <f>""</f>
        <v/>
      </c>
      <c r="N27" s="317"/>
    </row>
    <row r="28" spans="1:17" ht="3" customHeight="1" x14ac:dyDescent="0.2">
      <c r="A28" s="264"/>
      <c r="B28" s="1"/>
      <c r="C28" s="1"/>
      <c r="D28" s="1"/>
      <c r="E28" s="1"/>
      <c r="F28" s="1"/>
      <c r="G28" s="1"/>
      <c r="H28" s="1"/>
      <c r="I28" s="1"/>
      <c r="J28" s="1"/>
      <c r="K28" s="1"/>
      <c r="L28" s="257">
        <v>23</v>
      </c>
      <c r="M28" s="247" t="s">
        <v>141</v>
      </c>
      <c r="N28" s="317"/>
    </row>
    <row r="29" spans="1:17" s="252" customFormat="1" ht="12.75" x14ac:dyDescent="0.2">
      <c r="A29" s="250"/>
      <c r="B29" s="251"/>
      <c r="C29" s="251"/>
      <c r="D29" s="251" t="s">
        <v>142</v>
      </c>
      <c r="E29" s="251"/>
      <c r="F29" s="251"/>
      <c r="G29" s="251"/>
      <c r="H29" s="251"/>
      <c r="I29" s="251"/>
      <c r="J29" s="251"/>
      <c r="K29" s="251"/>
      <c r="N29" s="317"/>
    </row>
    <row r="30" spans="1:17" s="259" customFormat="1" ht="15.75" customHeight="1" x14ac:dyDescent="0.2">
      <c r="A30" s="253"/>
      <c r="B30" s="254" t="s">
        <v>143</v>
      </c>
      <c r="C30" s="255"/>
      <c r="D30" s="254"/>
      <c r="E30" s="255"/>
      <c r="F30" s="255" t="str">
        <f t="shared" ref="F30:K30" si="1">IF(F$6="","",F$6)</f>
        <v/>
      </c>
      <c r="G30" s="255" t="str">
        <f t="shared" si="1"/>
        <v/>
      </c>
      <c r="H30" s="255" t="str">
        <f t="shared" si="1"/>
        <v/>
      </c>
      <c r="I30" s="334" t="str">
        <f t="shared" si="1"/>
        <v/>
      </c>
      <c r="J30" s="334" t="str">
        <f t="shared" si="1"/>
        <v/>
      </c>
      <c r="K30" s="334" t="str">
        <f t="shared" si="1"/>
        <v/>
      </c>
      <c r="N30" s="317"/>
    </row>
    <row r="31" spans="1:17" s="259" customFormat="1" ht="15.75" customHeight="1" x14ac:dyDescent="0.2">
      <c r="A31" s="255"/>
      <c r="B31" s="255" t="s">
        <v>111</v>
      </c>
      <c r="C31" s="255" t="s">
        <v>112</v>
      </c>
      <c r="D31" s="255" t="s">
        <v>113</v>
      </c>
      <c r="E31" s="255" t="s">
        <v>114</v>
      </c>
      <c r="F31" s="255" t="s">
        <v>115</v>
      </c>
      <c r="G31" s="255" t="s">
        <v>116</v>
      </c>
      <c r="H31" s="255" t="str">
        <f>IF(H$7="","",H$7)</f>
        <v>REFERENCE</v>
      </c>
      <c r="I31" s="255" t="str">
        <f>IF(I$7="","",I$7)</f>
        <v>EMC ALT. #1</v>
      </c>
      <c r="J31" s="255" t="str">
        <f>IF(J$7="","",J$7)</f>
        <v>EMC ALT. #2</v>
      </c>
      <c r="K31" s="255" t="str">
        <f>IF(K$7="","",K$7)</f>
        <v>EMC ALT. #3</v>
      </c>
      <c r="N31" s="317"/>
    </row>
    <row r="32" spans="1:17" ht="15.75" customHeight="1" x14ac:dyDescent="0.2">
      <c r="A32" s="333" t="s">
        <v>121</v>
      </c>
      <c r="B32" s="261">
        <v>1</v>
      </c>
      <c r="C32" s="261"/>
      <c r="D32" s="261"/>
      <c r="E32" s="261"/>
      <c r="F32" s="263"/>
      <c r="G32" s="263"/>
      <c r="H32" s="263"/>
      <c r="I32" s="263"/>
      <c r="J32" s="263"/>
      <c r="K32" s="263"/>
      <c r="N32" s="317"/>
    </row>
    <row r="33" spans="1:14" ht="15.75" customHeight="1" x14ac:dyDescent="0.2">
      <c r="A33" s="333"/>
      <c r="B33" s="261">
        <v>1</v>
      </c>
      <c r="C33" s="261"/>
      <c r="D33" s="261"/>
      <c r="E33" s="261"/>
      <c r="F33" s="263"/>
      <c r="G33" s="263"/>
      <c r="H33" s="263"/>
      <c r="I33" s="263"/>
      <c r="J33" s="263"/>
      <c r="K33" s="263"/>
      <c r="N33" s="317"/>
    </row>
    <row r="34" spans="1:14" ht="15.75" customHeight="1" x14ac:dyDescent="0.2">
      <c r="A34" s="333"/>
      <c r="B34" s="261">
        <v>1</v>
      </c>
      <c r="C34" s="261"/>
      <c r="D34" s="261"/>
      <c r="E34" s="261"/>
      <c r="F34" s="263"/>
      <c r="G34" s="263"/>
      <c r="H34" s="263"/>
      <c r="I34" s="263"/>
      <c r="J34" s="263"/>
      <c r="K34" s="263"/>
      <c r="N34" s="317"/>
    </row>
    <row r="35" spans="1:14" ht="15.75" customHeight="1" x14ac:dyDescent="0.2">
      <c r="A35" s="333"/>
      <c r="B35" s="261">
        <v>1</v>
      </c>
      <c r="C35" s="261"/>
      <c r="D35" s="261"/>
      <c r="E35" s="261"/>
      <c r="F35" s="263"/>
      <c r="G35" s="263"/>
      <c r="H35" s="263"/>
      <c r="I35" s="263"/>
      <c r="J35" s="263"/>
      <c r="K35" s="263"/>
      <c r="N35" s="317"/>
    </row>
    <row r="36" spans="1:14" ht="15.75" customHeight="1" x14ac:dyDescent="0.2">
      <c r="A36" s="333"/>
      <c r="B36" s="261">
        <v>1</v>
      </c>
      <c r="C36" s="261"/>
      <c r="D36" s="261"/>
      <c r="E36" s="261"/>
      <c r="F36" s="263"/>
      <c r="G36" s="263"/>
      <c r="H36" s="263"/>
      <c r="I36" s="263"/>
      <c r="J36" s="263"/>
      <c r="K36" s="263"/>
      <c r="N36" s="317"/>
    </row>
    <row r="37" spans="1:14" ht="15.75" customHeight="1" x14ac:dyDescent="0.2">
      <c r="A37" s="333"/>
      <c r="B37" s="261">
        <v>1</v>
      </c>
      <c r="C37" s="261"/>
      <c r="D37" s="261"/>
      <c r="E37" s="261"/>
      <c r="F37" s="263"/>
      <c r="G37" s="263"/>
      <c r="H37" s="263"/>
      <c r="I37" s="263"/>
      <c r="J37" s="263"/>
      <c r="K37" s="263"/>
      <c r="N37" s="317"/>
    </row>
    <row r="38" spans="1:14" ht="15.75" customHeight="1" x14ac:dyDescent="0.2">
      <c r="A38" s="333"/>
      <c r="B38" s="261">
        <v>1</v>
      </c>
      <c r="C38" s="261"/>
      <c r="D38" s="261"/>
      <c r="E38" s="261"/>
      <c r="F38" s="263"/>
      <c r="G38" s="263"/>
      <c r="H38" s="263"/>
      <c r="I38" s="263"/>
      <c r="J38" s="263"/>
      <c r="K38" s="263"/>
      <c r="N38" s="317"/>
    </row>
    <row r="39" spans="1:14" ht="15.75" customHeight="1" x14ac:dyDescent="0.2">
      <c r="A39" s="333"/>
      <c r="B39" s="261">
        <v>1</v>
      </c>
      <c r="C39" s="261"/>
      <c r="D39" s="261"/>
      <c r="E39" s="261"/>
      <c r="F39" s="263"/>
      <c r="G39" s="263"/>
      <c r="H39" s="263"/>
      <c r="I39" s="263"/>
      <c r="J39" s="263"/>
      <c r="K39" s="263"/>
      <c r="N39" s="317"/>
    </row>
    <row r="40" spans="1:14" s="269" customFormat="1" ht="15.75" customHeight="1" x14ac:dyDescent="0.2">
      <c r="A40" s="266" t="str">
        <f>IF(A30+A18+A6&lt;&gt;100%,"!! SUM OF WEIGHTS NOT EQUAL TO 100% !!",SUM(A6,A18,A30))</f>
        <v>!! SUM OF WEIGHTS NOT EQUAL TO 100% !!</v>
      </c>
      <c r="B40" s="267"/>
      <c r="C40" s="267"/>
      <c r="D40" s="267"/>
      <c r="E40" s="267"/>
      <c r="F40" s="268"/>
      <c r="G40" s="268"/>
      <c r="H40" s="268"/>
      <c r="I40" s="268"/>
      <c r="J40" s="268"/>
      <c r="K40" s="268"/>
      <c r="N40" s="317"/>
    </row>
    <row r="41" spans="1:14" s="274" customFormat="1" x14ac:dyDescent="0.2">
      <c r="A41" s="270" t="s">
        <v>144</v>
      </c>
      <c r="B41" s="271"/>
      <c r="C41" s="271"/>
      <c r="D41" s="271"/>
      <c r="E41" s="271"/>
      <c r="F41" s="8"/>
      <c r="G41" s="8"/>
      <c r="H41" s="8"/>
      <c r="I41" s="8"/>
      <c r="J41" s="8"/>
      <c r="K41" s="8"/>
      <c r="L41" s="272"/>
      <c r="M41" s="272"/>
      <c r="N41" s="273"/>
    </row>
    <row r="42" spans="1:14" ht="18" customHeight="1" x14ac:dyDescent="0.2">
      <c r="A42" s="335" t="s">
        <v>145</v>
      </c>
      <c r="B42" s="275"/>
      <c r="C42" s="9"/>
      <c r="D42" s="275"/>
      <c r="E42" s="276"/>
      <c r="F42" s="277" t="s">
        <v>146</v>
      </c>
      <c r="G42" s="277"/>
      <c r="H42" s="277"/>
      <c r="I42" s="277"/>
      <c r="J42" s="277"/>
      <c r="K42" s="277"/>
      <c r="N42" s="337" t="s">
        <v>145</v>
      </c>
    </row>
    <row r="43" spans="1:14" ht="12.75" x14ac:dyDescent="0.2">
      <c r="A43" s="336"/>
      <c r="B43" s="9"/>
      <c r="C43" s="9"/>
      <c r="D43" s="9"/>
      <c r="E43" s="276"/>
      <c r="F43" s="259" t="str">
        <f t="shared" ref="F43:K43" si="2">IF(F$7="","",F$7)</f>
        <v>MINIMUM</v>
      </c>
      <c r="G43" s="259" t="str">
        <f t="shared" si="2"/>
        <v>MAXIMUM</v>
      </c>
      <c r="H43" s="259" t="str">
        <f t="shared" si="2"/>
        <v>REFERENCE</v>
      </c>
      <c r="I43" s="259" t="str">
        <f t="shared" si="2"/>
        <v>EMC ALT. #1</v>
      </c>
      <c r="J43" s="259" t="str">
        <f t="shared" si="2"/>
        <v>EMC ALT. #2</v>
      </c>
      <c r="K43" s="259" t="str">
        <f t="shared" si="2"/>
        <v>EMC ALT. #3</v>
      </c>
      <c r="N43" s="338"/>
    </row>
    <row r="44" spans="1:14" ht="12.75" customHeight="1" x14ac:dyDescent="0.2">
      <c r="A44" s="336"/>
      <c r="D44" s="257" t="s">
        <v>147</v>
      </c>
      <c r="E44" s="276"/>
      <c r="F44" s="278" t="str">
        <f t="shared" ref="F44:K49" si="3">IF($H85&lt;&gt;0,F85/$H85,"")</f>
        <v/>
      </c>
      <c r="G44" s="278" t="str">
        <f t="shared" si="3"/>
        <v/>
      </c>
      <c r="H44" s="278" t="str">
        <f t="shared" si="3"/>
        <v/>
      </c>
      <c r="I44" s="278" t="str">
        <f t="shared" si="3"/>
        <v/>
      </c>
      <c r="J44" s="278" t="str">
        <f t="shared" si="3"/>
        <v/>
      </c>
      <c r="K44" s="278" t="str">
        <f t="shared" si="3"/>
        <v/>
      </c>
      <c r="N44" s="338"/>
    </row>
    <row r="45" spans="1:14" ht="12.75" x14ac:dyDescent="0.2">
      <c r="A45" s="336"/>
      <c r="D45" s="257" t="s">
        <v>148</v>
      </c>
      <c r="E45" s="276"/>
      <c r="F45" s="278" t="str">
        <f t="shared" si="3"/>
        <v/>
      </c>
      <c r="G45" s="278" t="str">
        <f t="shared" si="3"/>
        <v/>
      </c>
      <c r="H45" s="278" t="str">
        <f t="shared" si="3"/>
        <v/>
      </c>
      <c r="I45" s="278" t="str">
        <f t="shared" si="3"/>
        <v/>
      </c>
      <c r="J45" s="278" t="str">
        <f t="shared" si="3"/>
        <v/>
      </c>
      <c r="K45" s="278" t="str">
        <f t="shared" si="3"/>
        <v/>
      </c>
      <c r="N45" s="338"/>
    </row>
    <row r="46" spans="1:14" ht="13.5" thickBot="1" x14ac:dyDescent="0.25">
      <c r="A46" s="336"/>
      <c r="D46" s="257" t="s">
        <v>149</v>
      </c>
      <c r="E46" s="276"/>
      <c r="F46" s="278" t="str">
        <f t="shared" si="3"/>
        <v/>
      </c>
      <c r="G46" s="278" t="str">
        <f t="shared" si="3"/>
        <v/>
      </c>
      <c r="H46" s="278" t="str">
        <f t="shared" si="3"/>
        <v/>
      </c>
      <c r="I46" s="278" t="str">
        <f t="shared" si="3"/>
        <v/>
      </c>
      <c r="J46" s="278" t="str">
        <f t="shared" si="3"/>
        <v/>
      </c>
      <c r="K46" s="278" t="str">
        <f t="shared" si="3"/>
        <v/>
      </c>
      <c r="N46" s="338"/>
    </row>
    <row r="47" spans="1:14" ht="13.5" thickBot="1" x14ac:dyDescent="0.25">
      <c r="A47" s="336"/>
      <c r="B47" s="279"/>
      <c r="C47" s="279"/>
      <c r="D47" s="280" t="s">
        <v>150</v>
      </c>
      <c r="E47" s="281"/>
      <c r="F47" s="282" t="str">
        <f t="shared" si="3"/>
        <v/>
      </c>
      <c r="G47" s="282" t="str">
        <f t="shared" si="3"/>
        <v/>
      </c>
      <c r="H47" s="282" t="str">
        <f t="shared" si="3"/>
        <v/>
      </c>
      <c r="I47" s="283" t="str">
        <f t="shared" si="3"/>
        <v/>
      </c>
      <c r="J47" s="283" t="str">
        <f t="shared" si="3"/>
        <v/>
      </c>
      <c r="K47" s="283" t="str">
        <f t="shared" si="3"/>
        <v/>
      </c>
      <c r="N47" s="338"/>
    </row>
    <row r="48" spans="1:14" ht="12.75" x14ac:dyDescent="0.2">
      <c r="A48" s="336"/>
      <c r="D48" s="257" t="s">
        <v>151</v>
      </c>
      <c r="E48" s="276"/>
      <c r="F48" s="278" t="str">
        <f t="shared" si="3"/>
        <v/>
      </c>
      <c r="G48" s="278" t="str">
        <f t="shared" si="3"/>
        <v/>
      </c>
      <c r="H48" s="278" t="str">
        <f t="shared" si="3"/>
        <v/>
      </c>
      <c r="I48" s="278" t="str">
        <f t="shared" si="3"/>
        <v/>
      </c>
      <c r="J48" s="278" t="str">
        <f t="shared" si="3"/>
        <v/>
      </c>
      <c r="K48" s="278" t="str">
        <f t="shared" si="3"/>
        <v/>
      </c>
      <c r="N48" s="338"/>
    </row>
    <row r="49" spans="1:14" ht="12.75" x14ac:dyDescent="0.2">
      <c r="A49" s="336"/>
      <c r="D49" s="257" t="s">
        <v>152</v>
      </c>
      <c r="E49" s="276"/>
      <c r="F49" s="278" t="str">
        <f t="shared" si="3"/>
        <v/>
      </c>
      <c r="G49" s="278" t="str">
        <f t="shared" si="3"/>
        <v/>
      </c>
      <c r="H49" s="278" t="str">
        <f t="shared" si="3"/>
        <v/>
      </c>
      <c r="I49" s="278" t="str">
        <f t="shared" si="3"/>
        <v/>
      </c>
      <c r="J49" s="278" t="str">
        <f t="shared" si="3"/>
        <v/>
      </c>
      <c r="K49" s="278" t="str">
        <f t="shared" si="3"/>
        <v/>
      </c>
      <c r="N49" s="338"/>
    </row>
    <row r="50" spans="1:14" ht="3" customHeight="1" x14ac:dyDescent="0.2">
      <c r="A50" s="336"/>
      <c r="B50" s="284"/>
      <c r="C50" s="284"/>
      <c r="D50" s="284"/>
      <c r="E50" s="284"/>
      <c r="F50" s="284"/>
      <c r="G50" s="284"/>
      <c r="H50" s="284"/>
      <c r="I50" s="284"/>
      <c r="J50" s="284"/>
      <c r="K50" s="284"/>
      <c r="N50" s="338"/>
    </row>
    <row r="51" spans="1:14" x14ac:dyDescent="0.2">
      <c r="A51" s="285" t="s">
        <v>153</v>
      </c>
      <c r="B51" s="286"/>
      <c r="C51" s="286"/>
      <c r="D51" s="286"/>
      <c r="E51" s="286"/>
      <c r="F51" s="286"/>
      <c r="G51" s="286"/>
      <c r="H51" s="286"/>
      <c r="I51" s="286"/>
      <c r="J51" s="286"/>
      <c r="K51" s="286"/>
      <c r="L51" s="287"/>
      <c r="M51" s="287"/>
      <c r="N51" s="288"/>
    </row>
    <row r="52" spans="1:14" s="252" customFormat="1" ht="12.75" x14ac:dyDescent="0.2">
      <c r="A52" s="339" t="s">
        <v>154</v>
      </c>
      <c r="B52" s="277"/>
      <c r="C52" s="281"/>
      <c r="D52" s="277" t="s">
        <v>147</v>
      </c>
      <c r="E52" s="281"/>
      <c r="F52" s="281"/>
      <c r="G52" s="281"/>
      <c r="H52" s="281"/>
      <c r="I52" s="281"/>
      <c r="J52" s="281"/>
      <c r="K52" s="281"/>
      <c r="N52" s="341" t="s">
        <v>154</v>
      </c>
    </row>
    <row r="53" spans="1:14" s="259" customFormat="1" ht="12.75" x14ac:dyDescent="0.2">
      <c r="A53" s="340"/>
      <c r="B53" s="289" t="s">
        <v>111</v>
      </c>
      <c r="C53" s="259" t="s">
        <v>112</v>
      </c>
      <c r="D53" s="259" t="s">
        <v>113</v>
      </c>
      <c r="E53" s="290"/>
      <c r="F53" s="259" t="str">
        <f t="shared" ref="F53:K53" si="4">IF(F$7="","",F$7)</f>
        <v>MINIMUM</v>
      </c>
      <c r="G53" s="259" t="str">
        <f t="shared" si="4"/>
        <v>MAXIMUM</v>
      </c>
      <c r="H53" s="259" t="str">
        <f t="shared" si="4"/>
        <v>REFERENCE</v>
      </c>
      <c r="I53" s="259" t="str">
        <f t="shared" si="4"/>
        <v>EMC ALT. #1</v>
      </c>
      <c r="J53" s="259" t="str">
        <f t="shared" si="4"/>
        <v>EMC ALT. #2</v>
      </c>
      <c r="K53" s="259" t="str">
        <f t="shared" si="4"/>
        <v>EMC ALT. #3</v>
      </c>
      <c r="N53" s="342"/>
    </row>
    <row r="54" spans="1:14" ht="12.75" customHeight="1" x14ac:dyDescent="0.2">
      <c r="A54" s="340"/>
      <c r="B54" s="291">
        <f t="shared" ref="B54:B61" si="5">IF(B8&lt;&gt;"",VLOOKUP(B8,L$6:M$28,2),"")</f>
        <v>0</v>
      </c>
      <c r="C54" s="291" t="str">
        <f t="shared" ref="C54:C61" si="6">IF(C8&lt;&gt;"",C8,"")</f>
        <v/>
      </c>
      <c r="D54" s="292" t="str">
        <f t="shared" ref="D54:D61" si="7">IF(D8&lt;&gt;"",D8*A$6/SUM(D$8:D$15),"")</f>
        <v/>
      </c>
      <c r="E54" s="293"/>
      <c r="F54" s="292" t="str">
        <f t="shared" ref="F54:F61" si="8">IF(D54="","",IF($F8=$G8,"! MIN = MAX !",IF(AND($F8="",$G8&lt;&gt;""),"MIN VALUE ?",IF(F8&lt;&gt;"",0,""))))</f>
        <v/>
      </c>
      <c r="G54" s="292" t="str">
        <f t="shared" ref="G54:G61" si="9">IF(D54="","",IF($F8=$G8,"! MIN = MAX !",IF(AND($G8="",$F8&lt;&gt;""),"MAX VALUE ?",IF(G8&lt;&gt;"",1,""))))</f>
        <v/>
      </c>
      <c r="H54" s="292" t="str">
        <f t="shared" ref="H54:K61" si="10">IF(H8="","",IF((H8-$F8)/($G8-$F8)&lt;0,0,IF((H8-$F8)/($G8-$F8)&gt;1,1,(H8-$F8)/($G8-$F8))))</f>
        <v/>
      </c>
      <c r="I54" s="292" t="str">
        <f t="shared" si="10"/>
        <v/>
      </c>
      <c r="J54" s="292" t="str">
        <f t="shared" si="10"/>
        <v/>
      </c>
      <c r="K54" s="292" t="str">
        <f t="shared" si="10"/>
        <v/>
      </c>
      <c r="N54" s="342"/>
    </row>
    <row r="55" spans="1:14" ht="12.75" x14ac:dyDescent="0.2">
      <c r="A55" s="340"/>
      <c r="B55" s="291">
        <f t="shared" si="5"/>
        <v>0</v>
      </c>
      <c r="C55" s="291" t="str">
        <f t="shared" si="6"/>
        <v/>
      </c>
      <c r="D55" s="292" t="str">
        <f t="shared" si="7"/>
        <v/>
      </c>
      <c r="E55" s="293"/>
      <c r="F55" s="292" t="str">
        <f t="shared" si="8"/>
        <v/>
      </c>
      <c r="G55" s="292" t="str">
        <f t="shared" si="9"/>
        <v/>
      </c>
      <c r="H55" s="292" t="str">
        <f t="shared" si="10"/>
        <v/>
      </c>
      <c r="I55" s="292" t="str">
        <f t="shared" si="10"/>
        <v/>
      </c>
      <c r="J55" s="292" t="str">
        <f t="shared" si="10"/>
        <v/>
      </c>
      <c r="K55" s="292" t="str">
        <f t="shared" si="10"/>
        <v/>
      </c>
      <c r="N55" s="342"/>
    </row>
    <row r="56" spans="1:14" ht="12.75" x14ac:dyDescent="0.2">
      <c r="A56" s="340"/>
      <c r="B56" s="291">
        <f t="shared" si="5"/>
        <v>0</v>
      </c>
      <c r="C56" s="291" t="str">
        <f t="shared" si="6"/>
        <v/>
      </c>
      <c r="D56" s="292" t="str">
        <f t="shared" si="7"/>
        <v/>
      </c>
      <c r="E56" s="293"/>
      <c r="F56" s="292" t="str">
        <f t="shared" si="8"/>
        <v/>
      </c>
      <c r="G56" s="292" t="str">
        <f t="shared" si="9"/>
        <v/>
      </c>
      <c r="H56" s="292" t="str">
        <f t="shared" si="10"/>
        <v/>
      </c>
      <c r="I56" s="292" t="str">
        <f t="shared" si="10"/>
        <v/>
      </c>
      <c r="J56" s="292" t="str">
        <f t="shared" si="10"/>
        <v/>
      </c>
      <c r="K56" s="292" t="str">
        <f t="shared" si="10"/>
        <v/>
      </c>
      <c r="N56" s="342"/>
    </row>
    <row r="57" spans="1:14" ht="12.75" x14ac:dyDescent="0.2">
      <c r="A57" s="340"/>
      <c r="B57" s="291">
        <f t="shared" si="5"/>
        <v>0</v>
      </c>
      <c r="C57" s="291" t="str">
        <f t="shared" si="6"/>
        <v/>
      </c>
      <c r="D57" s="292" t="str">
        <f t="shared" si="7"/>
        <v/>
      </c>
      <c r="E57" s="293"/>
      <c r="F57" s="292" t="str">
        <f t="shared" si="8"/>
        <v/>
      </c>
      <c r="G57" s="292" t="str">
        <f t="shared" si="9"/>
        <v/>
      </c>
      <c r="H57" s="292" t="str">
        <f t="shared" si="10"/>
        <v/>
      </c>
      <c r="I57" s="292" t="str">
        <f t="shared" si="10"/>
        <v/>
      </c>
      <c r="J57" s="292" t="str">
        <f t="shared" si="10"/>
        <v/>
      </c>
      <c r="K57" s="292" t="str">
        <f t="shared" si="10"/>
        <v/>
      </c>
      <c r="N57" s="342"/>
    </row>
    <row r="58" spans="1:14" ht="12.75" x14ac:dyDescent="0.2">
      <c r="A58" s="340"/>
      <c r="B58" s="291">
        <f t="shared" si="5"/>
        <v>0</v>
      </c>
      <c r="C58" s="291" t="str">
        <f t="shared" si="6"/>
        <v/>
      </c>
      <c r="D58" s="292" t="str">
        <f t="shared" si="7"/>
        <v/>
      </c>
      <c r="E58" s="293"/>
      <c r="F58" s="292" t="str">
        <f t="shared" si="8"/>
        <v/>
      </c>
      <c r="G58" s="292" t="str">
        <f t="shared" si="9"/>
        <v/>
      </c>
      <c r="H58" s="292" t="str">
        <f t="shared" si="10"/>
        <v/>
      </c>
      <c r="I58" s="292" t="str">
        <f t="shared" si="10"/>
        <v/>
      </c>
      <c r="J58" s="292" t="str">
        <f t="shared" si="10"/>
        <v/>
      </c>
      <c r="K58" s="292" t="str">
        <f t="shared" si="10"/>
        <v/>
      </c>
      <c r="N58" s="342"/>
    </row>
    <row r="59" spans="1:14" ht="12.75" x14ac:dyDescent="0.2">
      <c r="A59" s="340"/>
      <c r="B59" s="291">
        <f t="shared" si="5"/>
        <v>0</v>
      </c>
      <c r="C59" s="291" t="str">
        <f t="shared" si="6"/>
        <v/>
      </c>
      <c r="D59" s="292" t="str">
        <f t="shared" si="7"/>
        <v/>
      </c>
      <c r="E59" s="293"/>
      <c r="F59" s="292" t="str">
        <f t="shared" si="8"/>
        <v/>
      </c>
      <c r="G59" s="292" t="str">
        <f t="shared" si="9"/>
        <v/>
      </c>
      <c r="H59" s="292" t="str">
        <f t="shared" si="10"/>
        <v/>
      </c>
      <c r="I59" s="292" t="str">
        <f t="shared" si="10"/>
        <v/>
      </c>
      <c r="J59" s="292" t="str">
        <f t="shared" si="10"/>
        <v/>
      </c>
      <c r="K59" s="292" t="str">
        <f t="shared" si="10"/>
        <v/>
      </c>
      <c r="N59" s="342"/>
    </row>
    <row r="60" spans="1:14" ht="12.75" x14ac:dyDescent="0.2">
      <c r="A60" s="340"/>
      <c r="B60" s="291">
        <f t="shared" si="5"/>
        <v>0</v>
      </c>
      <c r="C60" s="291" t="str">
        <f t="shared" si="6"/>
        <v/>
      </c>
      <c r="D60" s="292" t="str">
        <f t="shared" si="7"/>
        <v/>
      </c>
      <c r="E60" s="293"/>
      <c r="F60" s="292" t="str">
        <f t="shared" si="8"/>
        <v/>
      </c>
      <c r="G60" s="292" t="str">
        <f t="shared" si="9"/>
        <v/>
      </c>
      <c r="H60" s="292" t="str">
        <f t="shared" si="10"/>
        <v/>
      </c>
      <c r="I60" s="292" t="str">
        <f t="shared" si="10"/>
        <v/>
      </c>
      <c r="J60" s="292" t="str">
        <f t="shared" si="10"/>
        <v/>
      </c>
      <c r="K60" s="292" t="str">
        <f t="shared" si="10"/>
        <v/>
      </c>
      <c r="N60" s="342"/>
    </row>
    <row r="61" spans="1:14" ht="12.75" x14ac:dyDescent="0.2">
      <c r="A61" s="340"/>
      <c r="B61" s="291">
        <f t="shared" si="5"/>
        <v>0</v>
      </c>
      <c r="C61" s="291" t="str">
        <f t="shared" si="6"/>
        <v/>
      </c>
      <c r="D61" s="292" t="str">
        <f t="shared" si="7"/>
        <v/>
      </c>
      <c r="E61" s="293"/>
      <c r="F61" s="292" t="str">
        <f t="shared" si="8"/>
        <v/>
      </c>
      <c r="G61" s="292" t="str">
        <f t="shared" si="9"/>
        <v/>
      </c>
      <c r="H61" s="292" t="str">
        <f t="shared" si="10"/>
        <v/>
      </c>
      <c r="I61" s="292" t="str">
        <f t="shared" si="10"/>
        <v/>
      </c>
      <c r="J61" s="292" t="str">
        <f t="shared" si="10"/>
        <v/>
      </c>
      <c r="K61" s="292" t="str">
        <f t="shared" si="10"/>
        <v/>
      </c>
      <c r="N61" s="342"/>
    </row>
    <row r="62" spans="1:14" s="252" customFormat="1" ht="12.75" x14ac:dyDescent="0.2">
      <c r="A62" s="340"/>
      <c r="B62" s="277"/>
      <c r="C62" s="281"/>
      <c r="D62" s="277" t="s">
        <v>148</v>
      </c>
      <c r="E62" s="281"/>
      <c r="F62" s="281"/>
      <c r="G62" s="281"/>
      <c r="H62" s="281"/>
      <c r="I62" s="281"/>
      <c r="J62" s="281"/>
      <c r="K62" s="281"/>
      <c r="N62" s="342"/>
    </row>
    <row r="63" spans="1:14" s="259" customFormat="1" ht="12.75" x14ac:dyDescent="0.2">
      <c r="A63" s="340"/>
      <c r="B63" s="289" t="s">
        <v>111</v>
      </c>
      <c r="C63" s="259" t="s">
        <v>112</v>
      </c>
      <c r="D63" s="259" t="s">
        <v>113</v>
      </c>
      <c r="E63" s="290"/>
      <c r="F63" s="259" t="str">
        <f t="shared" ref="F63:K63" si="11">IF(F$7="","",F$7)</f>
        <v>MINIMUM</v>
      </c>
      <c r="G63" s="259" t="str">
        <f t="shared" si="11"/>
        <v>MAXIMUM</v>
      </c>
      <c r="H63" s="259" t="str">
        <f t="shared" si="11"/>
        <v>REFERENCE</v>
      </c>
      <c r="I63" s="259" t="str">
        <f t="shared" si="11"/>
        <v>EMC ALT. #1</v>
      </c>
      <c r="J63" s="259" t="str">
        <f t="shared" si="11"/>
        <v>EMC ALT. #2</v>
      </c>
      <c r="K63" s="259" t="str">
        <f t="shared" si="11"/>
        <v>EMC ALT. #3</v>
      </c>
      <c r="N63" s="342"/>
    </row>
    <row r="64" spans="1:14" ht="12.75" x14ac:dyDescent="0.2">
      <c r="A64" s="340"/>
      <c r="B64" s="291">
        <f t="shared" ref="B64:B71" si="12">IF(B20&lt;&gt;"",VLOOKUP(B20,L$6:M$28,2),"")</f>
        <v>0</v>
      </c>
      <c r="C64" s="291" t="str">
        <f t="shared" ref="C64:C71" si="13">IF(C20&lt;&gt;"",C20,"")</f>
        <v/>
      </c>
      <c r="D64" s="292" t="str">
        <f t="shared" ref="D64:D71" si="14">IF(D20&lt;&gt;"",D20*A$18/SUM(D$20:D$27),"")</f>
        <v/>
      </c>
      <c r="E64" s="293"/>
      <c r="F64" s="292" t="str">
        <f t="shared" ref="F64:F71" si="15">IF(D64="","",IF($F20=$G20,"! MIN = MAX !",IF(AND($F20="",$G20&lt;&gt;""),"MIN VALUE ?",IF(F20&lt;&gt;"",0,""))))</f>
        <v/>
      </c>
      <c r="G64" s="292" t="str">
        <f t="shared" ref="G64:G71" si="16">IF(D64="","",IF($F20=$G20,"! MIN = MAX !",IF(AND($G20="",$F20&lt;&gt;""),"MAX VALUE ?",IF(G20&lt;&gt;"",1,""))))</f>
        <v/>
      </c>
      <c r="H64" s="292" t="str">
        <f t="shared" ref="H64:K71" si="17">IF(H20="","",IF((H20-$F20)/($G20-$F20)&lt;0,0,IF((H20-$F20)/($G20-$F20)&gt;1,1,(H20-$F20)/($G20-$F20))))</f>
        <v/>
      </c>
      <c r="I64" s="292" t="str">
        <f t="shared" si="17"/>
        <v/>
      </c>
      <c r="J64" s="292" t="str">
        <f t="shared" si="17"/>
        <v/>
      </c>
      <c r="K64" s="292" t="str">
        <f t="shared" si="17"/>
        <v/>
      </c>
      <c r="N64" s="342"/>
    </row>
    <row r="65" spans="1:14" ht="12.75" x14ac:dyDescent="0.2">
      <c r="A65" s="340"/>
      <c r="B65" s="291">
        <f t="shared" si="12"/>
        <v>0</v>
      </c>
      <c r="C65" s="291" t="str">
        <f t="shared" si="13"/>
        <v/>
      </c>
      <c r="D65" s="292" t="str">
        <f t="shared" si="14"/>
        <v/>
      </c>
      <c r="E65" s="293"/>
      <c r="F65" s="292" t="str">
        <f t="shared" si="15"/>
        <v/>
      </c>
      <c r="G65" s="292" t="str">
        <f t="shared" si="16"/>
        <v/>
      </c>
      <c r="H65" s="292" t="str">
        <f t="shared" si="17"/>
        <v/>
      </c>
      <c r="I65" s="292" t="str">
        <f t="shared" si="17"/>
        <v/>
      </c>
      <c r="J65" s="292" t="str">
        <f t="shared" si="17"/>
        <v/>
      </c>
      <c r="K65" s="292" t="str">
        <f t="shared" si="17"/>
        <v/>
      </c>
      <c r="N65" s="342"/>
    </row>
    <row r="66" spans="1:14" ht="12.75" x14ac:dyDescent="0.2">
      <c r="A66" s="340"/>
      <c r="B66" s="291">
        <f t="shared" si="12"/>
        <v>0</v>
      </c>
      <c r="C66" s="291" t="str">
        <f t="shared" si="13"/>
        <v/>
      </c>
      <c r="D66" s="292" t="str">
        <f t="shared" si="14"/>
        <v/>
      </c>
      <c r="E66" s="293"/>
      <c r="F66" s="292" t="str">
        <f t="shared" si="15"/>
        <v/>
      </c>
      <c r="G66" s="292" t="str">
        <f t="shared" si="16"/>
        <v/>
      </c>
      <c r="H66" s="292" t="str">
        <f t="shared" si="17"/>
        <v/>
      </c>
      <c r="I66" s="292" t="str">
        <f t="shared" si="17"/>
        <v/>
      </c>
      <c r="J66" s="292" t="str">
        <f t="shared" si="17"/>
        <v/>
      </c>
      <c r="K66" s="292" t="str">
        <f t="shared" si="17"/>
        <v/>
      </c>
      <c r="N66" s="342"/>
    </row>
    <row r="67" spans="1:14" ht="12.75" x14ac:dyDescent="0.2">
      <c r="A67" s="340"/>
      <c r="B67" s="291">
        <f t="shared" si="12"/>
        <v>0</v>
      </c>
      <c r="C67" s="291" t="str">
        <f t="shared" si="13"/>
        <v/>
      </c>
      <c r="D67" s="292" t="str">
        <f t="shared" si="14"/>
        <v/>
      </c>
      <c r="E67" s="293"/>
      <c r="F67" s="292" t="str">
        <f t="shared" si="15"/>
        <v/>
      </c>
      <c r="G67" s="292" t="str">
        <f t="shared" si="16"/>
        <v/>
      </c>
      <c r="H67" s="292" t="str">
        <f t="shared" si="17"/>
        <v/>
      </c>
      <c r="I67" s="292" t="str">
        <f t="shared" si="17"/>
        <v/>
      </c>
      <c r="J67" s="292" t="str">
        <f t="shared" si="17"/>
        <v/>
      </c>
      <c r="K67" s="292" t="str">
        <f t="shared" si="17"/>
        <v/>
      </c>
      <c r="N67" s="342"/>
    </row>
    <row r="68" spans="1:14" ht="12.75" x14ac:dyDescent="0.2">
      <c r="A68" s="340"/>
      <c r="B68" s="291">
        <f t="shared" si="12"/>
        <v>0</v>
      </c>
      <c r="C68" s="291" t="str">
        <f t="shared" si="13"/>
        <v/>
      </c>
      <c r="D68" s="292" t="str">
        <f t="shared" si="14"/>
        <v/>
      </c>
      <c r="E68" s="293"/>
      <c r="F68" s="292" t="str">
        <f t="shared" si="15"/>
        <v/>
      </c>
      <c r="G68" s="292" t="str">
        <f t="shared" si="16"/>
        <v/>
      </c>
      <c r="H68" s="292" t="str">
        <f t="shared" si="17"/>
        <v/>
      </c>
      <c r="I68" s="292" t="str">
        <f t="shared" si="17"/>
        <v/>
      </c>
      <c r="J68" s="292" t="str">
        <f t="shared" si="17"/>
        <v/>
      </c>
      <c r="K68" s="292" t="str">
        <f t="shared" si="17"/>
        <v/>
      </c>
      <c r="N68" s="342"/>
    </row>
    <row r="69" spans="1:14" ht="12.75" x14ac:dyDescent="0.2">
      <c r="A69" s="340"/>
      <c r="B69" s="291">
        <f t="shared" si="12"/>
        <v>0</v>
      </c>
      <c r="C69" s="291" t="str">
        <f t="shared" si="13"/>
        <v/>
      </c>
      <c r="D69" s="292" t="str">
        <f t="shared" si="14"/>
        <v/>
      </c>
      <c r="E69" s="293"/>
      <c r="F69" s="292" t="str">
        <f t="shared" si="15"/>
        <v/>
      </c>
      <c r="G69" s="292" t="str">
        <f t="shared" si="16"/>
        <v/>
      </c>
      <c r="H69" s="292" t="str">
        <f t="shared" si="17"/>
        <v/>
      </c>
      <c r="I69" s="292" t="str">
        <f t="shared" si="17"/>
        <v/>
      </c>
      <c r="J69" s="292" t="str">
        <f t="shared" si="17"/>
        <v/>
      </c>
      <c r="K69" s="292" t="str">
        <f t="shared" si="17"/>
        <v/>
      </c>
      <c r="N69" s="342"/>
    </row>
    <row r="70" spans="1:14" ht="12.75" x14ac:dyDescent="0.2">
      <c r="A70" s="340"/>
      <c r="B70" s="291">
        <f t="shared" si="12"/>
        <v>0</v>
      </c>
      <c r="C70" s="291" t="str">
        <f t="shared" si="13"/>
        <v/>
      </c>
      <c r="D70" s="292" t="str">
        <f t="shared" si="14"/>
        <v/>
      </c>
      <c r="E70" s="293"/>
      <c r="F70" s="292" t="str">
        <f t="shared" si="15"/>
        <v/>
      </c>
      <c r="G70" s="292" t="str">
        <f t="shared" si="16"/>
        <v/>
      </c>
      <c r="H70" s="292" t="str">
        <f t="shared" si="17"/>
        <v/>
      </c>
      <c r="I70" s="292" t="str">
        <f t="shared" si="17"/>
        <v/>
      </c>
      <c r="J70" s="292" t="str">
        <f t="shared" si="17"/>
        <v/>
      </c>
      <c r="K70" s="292" t="str">
        <f t="shared" si="17"/>
        <v/>
      </c>
      <c r="N70" s="342"/>
    </row>
    <row r="71" spans="1:14" ht="12.75" x14ac:dyDescent="0.2">
      <c r="A71" s="340"/>
      <c r="B71" s="291">
        <f t="shared" si="12"/>
        <v>0</v>
      </c>
      <c r="C71" s="291" t="str">
        <f t="shared" si="13"/>
        <v/>
      </c>
      <c r="D71" s="292" t="str">
        <f t="shared" si="14"/>
        <v/>
      </c>
      <c r="E71" s="293"/>
      <c r="F71" s="292" t="str">
        <f t="shared" si="15"/>
        <v/>
      </c>
      <c r="G71" s="292" t="str">
        <f t="shared" si="16"/>
        <v/>
      </c>
      <c r="H71" s="292" t="str">
        <f t="shared" si="17"/>
        <v/>
      </c>
      <c r="I71" s="292" t="str">
        <f t="shared" si="17"/>
        <v/>
      </c>
      <c r="J71" s="292" t="str">
        <f t="shared" si="17"/>
        <v/>
      </c>
      <c r="K71" s="292" t="str">
        <f t="shared" si="17"/>
        <v/>
      </c>
      <c r="N71" s="342"/>
    </row>
    <row r="72" spans="1:14" s="252" customFormat="1" ht="12.75" x14ac:dyDescent="0.2">
      <c r="A72" s="340"/>
      <c r="B72" s="277"/>
      <c r="C72" s="281"/>
      <c r="D72" s="277" t="s">
        <v>149</v>
      </c>
      <c r="E72" s="281"/>
      <c r="F72" s="281"/>
      <c r="G72" s="281"/>
      <c r="H72" s="281"/>
      <c r="I72" s="281"/>
      <c r="J72" s="281"/>
      <c r="K72" s="281"/>
      <c r="N72" s="342"/>
    </row>
    <row r="73" spans="1:14" s="259" customFormat="1" ht="12.75" x14ac:dyDescent="0.2">
      <c r="A73" s="340"/>
      <c r="B73" s="289" t="s">
        <v>111</v>
      </c>
      <c r="C73" s="259" t="s">
        <v>112</v>
      </c>
      <c r="D73" s="259" t="s">
        <v>113</v>
      </c>
      <c r="E73" s="290"/>
      <c r="F73" s="259" t="str">
        <f t="shared" ref="F73:K73" si="18">IF(F$7="","",F$7)</f>
        <v>MINIMUM</v>
      </c>
      <c r="G73" s="259" t="str">
        <f t="shared" si="18"/>
        <v>MAXIMUM</v>
      </c>
      <c r="H73" s="259" t="str">
        <f t="shared" si="18"/>
        <v>REFERENCE</v>
      </c>
      <c r="I73" s="259" t="str">
        <f t="shared" si="18"/>
        <v>EMC ALT. #1</v>
      </c>
      <c r="J73" s="259" t="str">
        <f t="shared" si="18"/>
        <v>EMC ALT. #2</v>
      </c>
      <c r="K73" s="259" t="str">
        <f t="shared" si="18"/>
        <v>EMC ALT. #3</v>
      </c>
      <c r="N73" s="342"/>
    </row>
    <row r="74" spans="1:14" ht="12.75" x14ac:dyDescent="0.2">
      <c r="A74" s="340"/>
      <c r="B74" s="291">
        <f>IF(B32&lt;&gt;"",VLOOKUP(B32,L$6:M$28,2),"")</f>
        <v>0</v>
      </c>
      <c r="C74" s="291" t="str">
        <f t="shared" ref="C74:C81" si="19">IF(C32&lt;&gt;"",C32,"")</f>
        <v/>
      </c>
      <c r="D74" s="292" t="str">
        <f t="shared" ref="D74:D81" si="20">IF(D32&lt;&gt;"",D32*A$30/SUM(D$32:D$39),"")</f>
        <v/>
      </c>
      <c r="E74" s="293"/>
      <c r="F74" s="292" t="str">
        <f t="shared" ref="F74:F81" si="21">IF(D74="","",IF($F32=$G32,"! MIN = MAX !",IF(AND($F32="",$G32&lt;&gt;""),"MIN VALUE ?",IF(F32&lt;&gt;"",0,""))))</f>
        <v/>
      </c>
      <c r="G74" s="292" t="str">
        <f t="shared" ref="G74:G81" si="22">IF(D74="","",IF($F32=$G32,"! MIN = MAX !",IF(AND($G32="",$F32&lt;&gt;""),"MAX VALUE ?",IF(G32&lt;&gt;"",1,""))))</f>
        <v/>
      </c>
      <c r="H74" s="292" t="str">
        <f t="shared" ref="H74:K81" si="23">IF(H32="","",IF((H32-$F32)/($G32-$F32)&lt;0,0,IF((H32-$F32)/($G32-$F32)&gt;1,1,(H32-$F32)/($G32-$F32))))</f>
        <v/>
      </c>
      <c r="I74" s="292" t="str">
        <f t="shared" si="23"/>
        <v/>
      </c>
      <c r="J74" s="292" t="str">
        <f t="shared" si="23"/>
        <v/>
      </c>
      <c r="K74" s="292" t="str">
        <f t="shared" si="23"/>
        <v/>
      </c>
      <c r="N74" s="342"/>
    </row>
    <row r="75" spans="1:14" ht="12.75" x14ac:dyDescent="0.2">
      <c r="A75" s="340"/>
      <c r="B75" s="291">
        <f t="shared" ref="B75:B81" si="24">IF(B33&lt;&gt;"",VLOOKUP(B33,L$6:M$28,2),"")</f>
        <v>0</v>
      </c>
      <c r="C75" s="291" t="str">
        <f t="shared" si="19"/>
        <v/>
      </c>
      <c r="D75" s="292" t="str">
        <f t="shared" si="20"/>
        <v/>
      </c>
      <c r="E75" s="293"/>
      <c r="F75" s="292" t="str">
        <f t="shared" si="21"/>
        <v/>
      </c>
      <c r="G75" s="292" t="str">
        <f t="shared" si="22"/>
        <v/>
      </c>
      <c r="H75" s="292" t="str">
        <f t="shared" si="23"/>
        <v/>
      </c>
      <c r="I75" s="292" t="str">
        <f t="shared" si="23"/>
        <v/>
      </c>
      <c r="J75" s="292" t="str">
        <f t="shared" si="23"/>
        <v/>
      </c>
      <c r="K75" s="292" t="str">
        <f t="shared" si="23"/>
        <v/>
      </c>
      <c r="N75" s="342"/>
    </row>
    <row r="76" spans="1:14" ht="12.75" x14ac:dyDescent="0.2">
      <c r="A76" s="340"/>
      <c r="B76" s="291">
        <f t="shared" si="24"/>
        <v>0</v>
      </c>
      <c r="C76" s="291" t="str">
        <f t="shared" si="19"/>
        <v/>
      </c>
      <c r="D76" s="292" t="str">
        <f t="shared" si="20"/>
        <v/>
      </c>
      <c r="E76" s="293"/>
      <c r="F76" s="292" t="str">
        <f t="shared" si="21"/>
        <v/>
      </c>
      <c r="G76" s="292" t="str">
        <f t="shared" si="22"/>
        <v/>
      </c>
      <c r="H76" s="292" t="str">
        <f t="shared" si="23"/>
        <v/>
      </c>
      <c r="I76" s="292" t="str">
        <f t="shared" si="23"/>
        <v/>
      </c>
      <c r="J76" s="292" t="str">
        <f t="shared" si="23"/>
        <v/>
      </c>
      <c r="K76" s="292" t="str">
        <f t="shared" si="23"/>
        <v/>
      </c>
      <c r="N76" s="342"/>
    </row>
    <row r="77" spans="1:14" ht="12.75" x14ac:dyDescent="0.2">
      <c r="A77" s="340"/>
      <c r="B77" s="291">
        <f t="shared" si="24"/>
        <v>0</v>
      </c>
      <c r="C77" s="291" t="str">
        <f t="shared" si="19"/>
        <v/>
      </c>
      <c r="D77" s="292" t="str">
        <f t="shared" si="20"/>
        <v/>
      </c>
      <c r="E77" s="293"/>
      <c r="F77" s="292" t="str">
        <f t="shared" si="21"/>
        <v/>
      </c>
      <c r="G77" s="292" t="str">
        <f t="shared" si="22"/>
        <v/>
      </c>
      <c r="H77" s="292" t="str">
        <f t="shared" si="23"/>
        <v/>
      </c>
      <c r="I77" s="292" t="str">
        <f t="shared" si="23"/>
        <v/>
      </c>
      <c r="J77" s="292" t="str">
        <f t="shared" si="23"/>
        <v/>
      </c>
      <c r="K77" s="292" t="str">
        <f t="shared" si="23"/>
        <v/>
      </c>
      <c r="N77" s="342"/>
    </row>
    <row r="78" spans="1:14" ht="12.75" x14ac:dyDescent="0.2">
      <c r="A78" s="340"/>
      <c r="B78" s="291">
        <f t="shared" si="24"/>
        <v>0</v>
      </c>
      <c r="C78" s="291" t="str">
        <f t="shared" si="19"/>
        <v/>
      </c>
      <c r="D78" s="292" t="str">
        <f t="shared" si="20"/>
        <v/>
      </c>
      <c r="E78" s="293"/>
      <c r="F78" s="292" t="str">
        <f t="shared" si="21"/>
        <v/>
      </c>
      <c r="G78" s="292" t="str">
        <f t="shared" si="22"/>
        <v/>
      </c>
      <c r="H78" s="292" t="str">
        <f t="shared" si="23"/>
        <v/>
      </c>
      <c r="I78" s="292" t="str">
        <f t="shared" si="23"/>
        <v/>
      </c>
      <c r="J78" s="292" t="str">
        <f t="shared" si="23"/>
        <v/>
      </c>
      <c r="K78" s="292" t="str">
        <f t="shared" si="23"/>
        <v/>
      </c>
      <c r="N78" s="342"/>
    </row>
    <row r="79" spans="1:14" ht="12.75" x14ac:dyDescent="0.2">
      <c r="A79" s="340"/>
      <c r="B79" s="291">
        <f t="shared" si="24"/>
        <v>0</v>
      </c>
      <c r="C79" s="291" t="str">
        <f t="shared" si="19"/>
        <v/>
      </c>
      <c r="D79" s="292" t="str">
        <f t="shared" si="20"/>
        <v/>
      </c>
      <c r="E79" s="293"/>
      <c r="F79" s="292" t="str">
        <f t="shared" si="21"/>
        <v/>
      </c>
      <c r="G79" s="292" t="str">
        <f t="shared" si="22"/>
        <v/>
      </c>
      <c r="H79" s="292" t="str">
        <f t="shared" si="23"/>
        <v/>
      </c>
      <c r="I79" s="292" t="str">
        <f t="shared" si="23"/>
        <v/>
      </c>
      <c r="J79" s="292" t="str">
        <f t="shared" si="23"/>
        <v/>
      </c>
      <c r="K79" s="292" t="str">
        <f t="shared" si="23"/>
        <v/>
      </c>
      <c r="N79" s="342"/>
    </row>
    <row r="80" spans="1:14" ht="12.75" x14ac:dyDescent="0.2">
      <c r="A80" s="340"/>
      <c r="B80" s="291">
        <f t="shared" si="24"/>
        <v>0</v>
      </c>
      <c r="C80" s="291" t="str">
        <f t="shared" si="19"/>
        <v/>
      </c>
      <c r="D80" s="292" t="str">
        <f t="shared" si="20"/>
        <v/>
      </c>
      <c r="E80" s="293"/>
      <c r="F80" s="292" t="str">
        <f t="shared" si="21"/>
        <v/>
      </c>
      <c r="G80" s="292" t="str">
        <f t="shared" si="22"/>
        <v/>
      </c>
      <c r="H80" s="292" t="str">
        <f t="shared" si="23"/>
        <v/>
      </c>
      <c r="I80" s="292" t="str">
        <f t="shared" si="23"/>
        <v/>
      </c>
      <c r="J80" s="292" t="str">
        <f t="shared" si="23"/>
        <v/>
      </c>
      <c r="K80" s="292" t="str">
        <f t="shared" si="23"/>
        <v/>
      </c>
      <c r="N80" s="342"/>
    </row>
    <row r="81" spans="1:14" ht="12.75" x14ac:dyDescent="0.2">
      <c r="A81" s="340"/>
      <c r="B81" s="291">
        <f t="shared" si="24"/>
        <v>0</v>
      </c>
      <c r="C81" s="291" t="str">
        <f t="shared" si="19"/>
        <v/>
      </c>
      <c r="D81" s="292" t="str">
        <f t="shared" si="20"/>
        <v/>
      </c>
      <c r="E81" s="293"/>
      <c r="F81" s="292" t="str">
        <f t="shared" si="21"/>
        <v/>
      </c>
      <c r="G81" s="292" t="str">
        <f t="shared" si="22"/>
        <v/>
      </c>
      <c r="H81" s="292" t="str">
        <f t="shared" si="23"/>
        <v/>
      </c>
      <c r="I81" s="292" t="str">
        <f t="shared" si="23"/>
        <v/>
      </c>
      <c r="J81" s="292" t="str">
        <f t="shared" si="23"/>
        <v/>
      </c>
      <c r="K81" s="292" t="str">
        <f t="shared" si="23"/>
        <v/>
      </c>
      <c r="N81" s="342"/>
    </row>
    <row r="82" spans="1:14" ht="3" customHeight="1" x14ac:dyDescent="0.2">
      <c r="A82" s="340"/>
      <c r="B82" s="9"/>
      <c r="C82" s="9"/>
      <c r="D82" s="9"/>
      <c r="E82" s="276"/>
      <c r="F82" s="9"/>
      <c r="G82" s="9"/>
      <c r="H82" s="9"/>
      <c r="I82" s="9"/>
      <c r="J82" s="9"/>
      <c r="K82" s="9"/>
      <c r="N82" s="342"/>
    </row>
    <row r="83" spans="1:14" ht="12.75" x14ac:dyDescent="0.2">
      <c r="A83" s="340"/>
      <c r="B83" s="279"/>
      <c r="C83" s="279"/>
      <c r="D83" s="279" t="s">
        <v>155</v>
      </c>
      <c r="E83" s="276"/>
      <c r="F83" s="343" t="s">
        <v>156</v>
      </c>
      <c r="G83" s="343"/>
      <c r="H83" s="343"/>
      <c r="I83" s="343"/>
      <c r="J83" s="343"/>
      <c r="K83" s="343"/>
      <c r="N83" s="342"/>
    </row>
    <row r="84" spans="1:14" ht="12.75" x14ac:dyDescent="0.2">
      <c r="A84" s="340"/>
      <c r="B84" s="252"/>
      <c r="D84" s="252"/>
      <c r="E84" s="276"/>
      <c r="F84" s="259" t="str">
        <f t="shared" ref="F84:K84" si="25">IF(F$7="","",F$7)</f>
        <v>MINIMUM</v>
      </c>
      <c r="G84" s="259" t="str">
        <f t="shared" si="25"/>
        <v>MAXIMUM</v>
      </c>
      <c r="H84" s="259" t="str">
        <f t="shared" si="25"/>
        <v>REFERENCE</v>
      </c>
      <c r="I84" s="259" t="str">
        <f t="shared" si="25"/>
        <v>EMC ALT. #1</v>
      </c>
      <c r="J84" s="259" t="str">
        <f t="shared" si="25"/>
        <v>EMC ALT. #2</v>
      </c>
      <c r="K84" s="259" t="str">
        <f t="shared" si="25"/>
        <v>EMC ALT. #3</v>
      </c>
      <c r="N84" s="342"/>
    </row>
    <row r="85" spans="1:14" ht="12.75" x14ac:dyDescent="0.2">
      <c r="A85" s="340"/>
      <c r="D85" s="257" t="s">
        <v>147</v>
      </c>
      <c r="E85" s="276"/>
      <c r="F85" s="292">
        <f t="shared" ref="F85:K85" si="26">SUMPRODUCT($D54:$D61,F54:F61)</f>
        <v>0</v>
      </c>
      <c r="G85" s="292">
        <f t="shared" si="26"/>
        <v>0</v>
      </c>
      <c r="H85" s="292">
        <f t="shared" si="26"/>
        <v>0</v>
      </c>
      <c r="I85" s="292">
        <f t="shared" si="26"/>
        <v>0</v>
      </c>
      <c r="J85" s="292">
        <f t="shared" si="26"/>
        <v>0</v>
      </c>
      <c r="K85" s="292">
        <f t="shared" si="26"/>
        <v>0</v>
      </c>
      <c r="N85" s="342"/>
    </row>
    <row r="86" spans="1:14" ht="12.75" x14ac:dyDescent="0.2">
      <c r="A86" s="340"/>
      <c r="D86" s="257" t="s">
        <v>148</v>
      </c>
      <c r="E86" s="276"/>
      <c r="F86" s="292">
        <f t="shared" ref="F86:K86" si="27">SUMPRODUCT($D64:$D71,F64:F71)</f>
        <v>0</v>
      </c>
      <c r="G86" s="292">
        <f t="shared" si="27"/>
        <v>0</v>
      </c>
      <c r="H86" s="292">
        <f t="shared" si="27"/>
        <v>0</v>
      </c>
      <c r="I86" s="292">
        <f t="shared" si="27"/>
        <v>0</v>
      </c>
      <c r="J86" s="292">
        <f t="shared" si="27"/>
        <v>0</v>
      </c>
      <c r="K86" s="292">
        <f t="shared" si="27"/>
        <v>0</v>
      </c>
      <c r="N86" s="342"/>
    </row>
    <row r="87" spans="1:14" ht="12.75" x14ac:dyDescent="0.2">
      <c r="A87" s="340"/>
      <c r="D87" s="257" t="s">
        <v>149</v>
      </c>
      <c r="E87" s="276"/>
      <c r="F87" s="292">
        <f t="shared" ref="F87:K87" si="28">SUMPRODUCT($D74:$D81,F74:F81)</f>
        <v>0</v>
      </c>
      <c r="G87" s="292">
        <f t="shared" si="28"/>
        <v>0</v>
      </c>
      <c r="H87" s="292">
        <f t="shared" si="28"/>
        <v>0</v>
      </c>
      <c r="I87" s="292">
        <f t="shared" si="28"/>
        <v>0</v>
      </c>
      <c r="J87" s="292">
        <f t="shared" si="28"/>
        <v>0</v>
      </c>
      <c r="K87" s="292">
        <f t="shared" si="28"/>
        <v>0</v>
      </c>
      <c r="N87" s="342"/>
    </row>
    <row r="88" spans="1:14" ht="12.75" x14ac:dyDescent="0.2">
      <c r="A88" s="340"/>
      <c r="B88" s="294"/>
      <c r="C88" s="252"/>
      <c r="D88" s="280" t="s">
        <v>150</v>
      </c>
      <c r="E88" s="281"/>
      <c r="F88" s="295">
        <f t="shared" ref="F88:K88" si="29">SUM(F85:F87)</f>
        <v>0</v>
      </c>
      <c r="G88" s="295">
        <f t="shared" si="29"/>
        <v>0</v>
      </c>
      <c r="H88" s="295">
        <f t="shared" si="29"/>
        <v>0</v>
      </c>
      <c r="I88" s="295">
        <f t="shared" si="29"/>
        <v>0</v>
      </c>
      <c r="J88" s="295">
        <f t="shared" si="29"/>
        <v>0</v>
      </c>
      <c r="K88" s="295">
        <f t="shared" si="29"/>
        <v>0</v>
      </c>
      <c r="N88" s="342"/>
    </row>
    <row r="89" spans="1:14" ht="12.75" x14ac:dyDescent="0.2">
      <c r="A89" s="340"/>
      <c r="D89" s="257" t="s">
        <v>151</v>
      </c>
      <c r="E89" s="276"/>
      <c r="F89" s="292">
        <f t="shared" ref="F89:K90" si="30">F85+F86</f>
        <v>0</v>
      </c>
      <c r="G89" s="292">
        <f t="shared" si="30"/>
        <v>0</v>
      </c>
      <c r="H89" s="292">
        <f t="shared" si="30"/>
        <v>0</v>
      </c>
      <c r="I89" s="292">
        <f t="shared" si="30"/>
        <v>0</v>
      </c>
      <c r="J89" s="292">
        <f t="shared" si="30"/>
        <v>0</v>
      </c>
      <c r="K89" s="292">
        <f t="shared" si="30"/>
        <v>0</v>
      </c>
      <c r="N89" s="342"/>
    </row>
    <row r="90" spans="1:14" ht="12.75" x14ac:dyDescent="0.2">
      <c r="A90" s="340"/>
      <c r="D90" s="257" t="s">
        <v>152</v>
      </c>
      <c r="E90" s="276"/>
      <c r="F90" s="292">
        <f t="shared" si="30"/>
        <v>0</v>
      </c>
      <c r="G90" s="292">
        <f t="shared" si="30"/>
        <v>0</v>
      </c>
      <c r="H90" s="292">
        <f t="shared" si="30"/>
        <v>0</v>
      </c>
      <c r="I90" s="292">
        <f t="shared" si="30"/>
        <v>0</v>
      </c>
      <c r="J90" s="292">
        <f t="shared" si="30"/>
        <v>0</v>
      </c>
      <c r="K90" s="292">
        <f t="shared" si="30"/>
        <v>0</v>
      </c>
      <c r="N90" s="342"/>
    </row>
    <row r="91" spans="1:14" ht="3" customHeight="1" x14ac:dyDescent="0.2">
      <c r="A91" s="9"/>
      <c r="B91" s="9"/>
      <c r="C91" s="9"/>
      <c r="D91" s="9"/>
      <c r="E91" s="276"/>
      <c r="F91" s="276"/>
      <c r="G91" s="276"/>
      <c r="H91" s="9"/>
      <c r="I91" s="9"/>
      <c r="J91" s="9"/>
      <c r="K91" s="9"/>
      <c r="N91" s="296"/>
    </row>
  </sheetData>
  <sheetProtection password="C3CD" sheet="1" objects="1" scenarios="1" selectLockedCells="1"/>
  <mergeCells count="13">
    <mergeCell ref="A42:A50"/>
    <mergeCell ref="N42:N50"/>
    <mergeCell ref="A52:A90"/>
    <mergeCell ref="N52:N90"/>
    <mergeCell ref="F83:K83"/>
    <mergeCell ref="A1:N1"/>
    <mergeCell ref="B3:K3"/>
    <mergeCell ref="N5:N40"/>
    <mergeCell ref="A8:A15"/>
    <mergeCell ref="I18:K18"/>
    <mergeCell ref="A20:A27"/>
    <mergeCell ref="I30:K30"/>
    <mergeCell ref="A32:A39"/>
  </mergeCells>
  <conditionalFormatting sqref="H64:K71 H74:K81 H54:K61">
    <cfRule type="cellIs" dxfId="75" priority="1" stopIfTrue="1" operator="lessThanOrEqual">
      <formula>$F54</formula>
    </cfRule>
    <cfRule type="cellIs" dxfId="74" priority="2" stopIfTrue="1" operator="greaterThanOrEqual">
      <formula>$G54</formula>
    </cfRule>
    <cfRule type="cellIs" dxfId="73" priority="3" stopIfTrue="1" operator="between">
      <formula>$F54</formula>
      <formula>$G54</formula>
    </cfRule>
  </conditionalFormatting>
  <conditionalFormatting sqref="F64:F70 F54:F60">
    <cfRule type="cellIs" dxfId="72" priority="4" stopIfTrue="1" operator="notEqual">
      <formula>0</formula>
    </cfRule>
  </conditionalFormatting>
  <conditionalFormatting sqref="F71 G64:G71 F61 G54:G61">
    <cfRule type="cellIs" dxfId="71" priority="5" stopIfTrue="1" operator="notEqual">
      <formula>0</formula>
    </cfRule>
  </conditionalFormatting>
  <conditionalFormatting sqref="A40:E40">
    <cfRule type="expression" dxfId="70" priority="6" stopIfTrue="1">
      <formula>$A$6+$A$18+$A$30&lt;&gt;100%</formula>
    </cfRule>
  </conditionalFormatting>
  <printOptions horizontalCentered="1" verticalCentered="1"/>
  <pageMargins left="0.25" right="0.25" top="0.75" bottom="0.75" header="0.3" footer="0.3"/>
  <pageSetup paperSize="9" scale="58" orientation="portrait" r:id="rId1"/>
  <headerFooter alignWithMargins="0">
    <oddHeader>&amp;L&amp;"Arial Black,Regular"&amp;12INTERNAL PERFORMANCE EVALUATION&amp;C&amp;"Arial Black,Regular"&amp;8&amp;D&amp;R&amp;"Arial Black,Regular"&amp;12PROPRIETARY</oddHeader>
    <oddFooter>&amp;L&amp;"Arial Black,Regular"&amp;8page &amp;P of &amp;N&amp;R&amp;"Arial Black,Regular"&amp;8&amp;F  -  &amp;A</oddFooter>
  </headerFooter>
  <rowBreaks count="1" manualBreakCount="1">
    <brk id="5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17410" r:id="rId5" name="Drop Down 2">
              <controlPr defaultSize="0" autoLine="0" autoPict="0">
                <anchor mov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17411" r:id="rId6" name="Drop Down 3">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17412" r:id="rId7" name="Drop Down 4">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7413" r:id="rId8" name="Drop Down 5">
              <controlPr defaultSize="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17414" r:id="rId9" name="Drop Down 6">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17415" r:id="rId10" name="Drop Down 7">
              <controlPr defaultSize="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17416" r:id="rId11" name="Drop Down 8">
              <controlPr defaultSize="0" autoLine="0" autoPict="0">
                <anchor mov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17417" r:id="rId12" name="Drop Down 9">
              <controlPr defaultSize="0" autoLine="0" autoPict="0">
                <anchor mov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17418" r:id="rId13" name="Drop Down 10">
              <controlPr defaultSize="0" autoLine="0" autoPict="0">
                <anchor mov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17419" r:id="rId14" name="Drop Down 11">
              <controlPr defaultSize="0" autoLine="0" autoPict="0">
                <anchor mov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17420" r:id="rId15" name="Drop Down 12">
              <controlPr defaultSize="0" autoLine="0" autoPict="0">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7421" r:id="rId16" name="Drop Down 13">
              <controlPr defaultSize="0" autoLine="0" autoPict="0">
                <anchor mov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17422" r:id="rId17" name="Drop Down 14">
              <controlPr defaultSize="0" autoLine="0" autoPict="0">
                <anchor moveWithCells="1">
                  <from>
                    <xdr:col>1</xdr:col>
                    <xdr:colOff>0</xdr:colOff>
                    <xdr:row>24</xdr:row>
                    <xdr:rowOff>0</xdr:rowOff>
                  </from>
                  <to>
                    <xdr:col>2</xdr:col>
                    <xdr:colOff>0</xdr:colOff>
                    <xdr:row>25</xdr:row>
                    <xdr:rowOff>0</xdr:rowOff>
                  </to>
                </anchor>
              </controlPr>
            </control>
          </mc:Choice>
        </mc:AlternateContent>
        <mc:AlternateContent xmlns:mc="http://schemas.openxmlformats.org/markup-compatibility/2006">
          <mc:Choice Requires="x14">
            <control shapeId="17423" r:id="rId18" name="Drop Down 15">
              <controlPr defaultSize="0" autoLine="0" autoPict="0">
                <anchor moveWithCells="1">
                  <from>
                    <xdr:col>1</xdr:col>
                    <xdr:colOff>0</xdr:colOff>
                    <xdr:row>25</xdr:row>
                    <xdr:rowOff>0</xdr:rowOff>
                  </from>
                  <to>
                    <xdr:col>2</xdr:col>
                    <xdr:colOff>0</xdr:colOff>
                    <xdr:row>26</xdr:row>
                    <xdr:rowOff>0</xdr:rowOff>
                  </to>
                </anchor>
              </controlPr>
            </control>
          </mc:Choice>
        </mc:AlternateContent>
        <mc:AlternateContent xmlns:mc="http://schemas.openxmlformats.org/markup-compatibility/2006">
          <mc:Choice Requires="x14">
            <control shapeId="17424" r:id="rId19" name="Drop Down 16">
              <controlPr defaultSize="0" autoLine="0" autoPict="0">
                <anchor moveWithCells="1">
                  <from>
                    <xdr:col>1</xdr:col>
                    <xdr:colOff>0</xdr:colOff>
                    <xdr:row>26</xdr:row>
                    <xdr:rowOff>0</xdr:rowOff>
                  </from>
                  <to>
                    <xdr:col>2</xdr:col>
                    <xdr:colOff>0</xdr:colOff>
                    <xdr:row>27</xdr:row>
                    <xdr:rowOff>0</xdr:rowOff>
                  </to>
                </anchor>
              </controlPr>
            </control>
          </mc:Choice>
        </mc:AlternateContent>
        <mc:AlternateContent xmlns:mc="http://schemas.openxmlformats.org/markup-compatibility/2006">
          <mc:Choice Requires="x14">
            <control shapeId="17425" r:id="rId20" name="Drop Down 17">
              <controlPr defaultSize="0" autoLine="0" autoPict="0">
                <anchor moveWithCells="1">
                  <from>
                    <xdr:col>1</xdr:col>
                    <xdr:colOff>0</xdr:colOff>
                    <xdr:row>31</xdr:row>
                    <xdr:rowOff>0</xdr:rowOff>
                  </from>
                  <to>
                    <xdr:col>2</xdr:col>
                    <xdr:colOff>0</xdr:colOff>
                    <xdr:row>32</xdr:row>
                    <xdr:rowOff>0</xdr:rowOff>
                  </to>
                </anchor>
              </controlPr>
            </control>
          </mc:Choice>
        </mc:AlternateContent>
        <mc:AlternateContent xmlns:mc="http://schemas.openxmlformats.org/markup-compatibility/2006">
          <mc:Choice Requires="x14">
            <control shapeId="17426" r:id="rId21" name="Drop Down 18">
              <controlPr defaultSize="0" autoLine="0" autoPict="0">
                <anchor moveWithCells="1">
                  <from>
                    <xdr:col>1</xdr:col>
                    <xdr:colOff>0</xdr:colOff>
                    <xdr:row>32</xdr:row>
                    <xdr:rowOff>0</xdr:rowOff>
                  </from>
                  <to>
                    <xdr:col>2</xdr:col>
                    <xdr:colOff>0</xdr:colOff>
                    <xdr:row>33</xdr:row>
                    <xdr:rowOff>0</xdr:rowOff>
                  </to>
                </anchor>
              </controlPr>
            </control>
          </mc:Choice>
        </mc:AlternateContent>
        <mc:AlternateContent xmlns:mc="http://schemas.openxmlformats.org/markup-compatibility/2006">
          <mc:Choice Requires="x14">
            <control shapeId="17427" r:id="rId22" name="Drop Down 19">
              <controlPr defaultSize="0" autoLine="0" autoPict="0">
                <anchor moveWithCells="1">
                  <from>
                    <xdr:col>1</xdr:col>
                    <xdr:colOff>0</xdr:colOff>
                    <xdr:row>33</xdr:row>
                    <xdr:rowOff>0</xdr:rowOff>
                  </from>
                  <to>
                    <xdr:col>2</xdr:col>
                    <xdr:colOff>0</xdr:colOff>
                    <xdr:row>34</xdr:row>
                    <xdr:rowOff>0</xdr:rowOff>
                  </to>
                </anchor>
              </controlPr>
            </control>
          </mc:Choice>
        </mc:AlternateContent>
        <mc:AlternateContent xmlns:mc="http://schemas.openxmlformats.org/markup-compatibility/2006">
          <mc:Choice Requires="x14">
            <control shapeId="17428" r:id="rId23" name="Drop Down 20">
              <controlPr defaultSize="0" autoLine="0" autoPict="0">
                <anchor moveWithCells="1">
                  <from>
                    <xdr:col>1</xdr:col>
                    <xdr:colOff>0</xdr:colOff>
                    <xdr:row>34</xdr:row>
                    <xdr:rowOff>0</xdr:rowOff>
                  </from>
                  <to>
                    <xdr:col>2</xdr:col>
                    <xdr:colOff>0</xdr:colOff>
                    <xdr:row>35</xdr:row>
                    <xdr:rowOff>0</xdr:rowOff>
                  </to>
                </anchor>
              </controlPr>
            </control>
          </mc:Choice>
        </mc:AlternateContent>
        <mc:AlternateContent xmlns:mc="http://schemas.openxmlformats.org/markup-compatibility/2006">
          <mc:Choice Requires="x14">
            <control shapeId="17429" r:id="rId24" name="Drop Down 21">
              <controlPr defaultSize="0" autoLine="0" autoPict="0">
                <anchor moveWithCells="1">
                  <from>
                    <xdr:col>1</xdr:col>
                    <xdr:colOff>0</xdr:colOff>
                    <xdr:row>35</xdr:row>
                    <xdr:rowOff>0</xdr:rowOff>
                  </from>
                  <to>
                    <xdr:col>2</xdr:col>
                    <xdr:colOff>0</xdr:colOff>
                    <xdr:row>36</xdr:row>
                    <xdr:rowOff>0</xdr:rowOff>
                  </to>
                </anchor>
              </controlPr>
            </control>
          </mc:Choice>
        </mc:AlternateContent>
        <mc:AlternateContent xmlns:mc="http://schemas.openxmlformats.org/markup-compatibility/2006">
          <mc:Choice Requires="x14">
            <control shapeId="17430" r:id="rId25" name="Drop Down 22">
              <controlPr defaultSize="0" autoLine="0" autoPict="0">
                <anchor moveWithCells="1">
                  <from>
                    <xdr:col>1</xdr:col>
                    <xdr:colOff>0</xdr:colOff>
                    <xdr:row>36</xdr:row>
                    <xdr:rowOff>0</xdr:rowOff>
                  </from>
                  <to>
                    <xdr:col>2</xdr:col>
                    <xdr:colOff>0</xdr:colOff>
                    <xdr:row>37</xdr:row>
                    <xdr:rowOff>0</xdr:rowOff>
                  </to>
                </anchor>
              </controlPr>
            </control>
          </mc:Choice>
        </mc:AlternateContent>
        <mc:AlternateContent xmlns:mc="http://schemas.openxmlformats.org/markup-compatibility/2006">
          <mc:Choice Requires="x14">
            <control shapeId="17431" r:id="rId26" name="Drop Down 23">
              <controlPr defaultSize="0" autoLine="0" autoPict="0">
                <anchor moveWithCells="1">
                  <from>
                    <xdr:col>1</xdr:col>
                    <xdr:colOff>0</xdr:colOff>
                    <xdr:row>37</xdr:row>
                    <xdr:rowOff>0</xdr:rowOff>
                  </from>
                  <to>
                    <xdr:col>2</xdr:col>
                    <xdr:colOff>0</xdr:colOff>
                    <xdr:row>38</xdr:row>
                    <xdr:rowOff>0</xdr:rowOff>
                  </to>
                </anchor>
              </controlPr>
            </control>
          </mc:Choice>
        </mc:AlternateContent>
        <mc:AlternateContent xmlns:mc="http://schemas.openxmlformats.org/markup-compatibility/2006">
          <mc:Choice Requires="x14">
            <control shapeId="17432" r:id="rId27" name="Drop Down 24">
              <controlPr defaultSize="0" autoLine="0" autoPict="0">
                <anchor moveWithCells="1">
                  <from>
                    <xdr:col>1</xdr:col>
                    <xdr:colOff>0</xdr:colOff>
                    <xdr:row>38</xdr:row>
                    <xdr:rowOff>0</xdr:rowOff>
                  </from>
                  <to>
                    <xdr:col>2</xdr:col>
                    <xdr:colOff>0</xdr:colOff>
                    <xdr:row>39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FF00"/>
    <pageSetUpPr fitToPage="1"/>
  </sheetPr>
  <dimension ref="A1:BJ107"/>
  <sheetViews>
    <sheetView showGridLines="0" zoomScaleNormal="100" workbookViewId="0">
      <selection activeCell="B3" sqref="B3:AJ3"/>
    </sheetView>
  </sheetViews>
  <sheetFormatPr defaultRowHeight="12.75" outlineLevelCol="1" x14ac:dyDescent="0.2"/>
  <cols>
    <col min="1" max="1" width="3.140625" customWidth="1"/>
    <col min="2" max="2" width="11.5703125" customWidth="1"/>
    <col min="3" max="3" width="5" bestFit="1" customWidth="1"/>
    <col min="4" max="4" width="4.42578125" customWidth="1"/>
    <col min="5" max="5" width="11.5703125" bestFit="1" customWidth="1"/>
    <col min="6" max="6" width="8.42578125" customWidth="1"/>
    <col min="7" max="7" width="6.5703125" bestFit="1" customWidth="1"/>
    <col min="8" max="8" width="2.5703125" customWidth="1"/>
    <col min="9" max="9" width="11.42578125" customWidth="1"/>
    <col min="10" max="12" width="7.140625" customWidth="1"/>
    <col min="13" max="13" width="7" bestFit="1" customWidth="1"/>
    <col min="14" max="14" width="5.85546875" bestFit="1" customWidth="1"/>
    <col min="15" max="15" width="5.5703125" hidden="1" customWidth="1" outlineLevel="1"/>
    <col min="16" max="20" width="5" hidden="1" customWidth="1" outlineLevel="1"/>
    <col min="21" max="21" width="5.5703125" customWidth="1" collapsed="1"/>
    <col min="22" max="22" width="9.140625" hidden="1" customWidth="1"/>
    <col min="23" max="23" width="3.42578125" customWidth="1"/>
    <col min="24" max="24" width="12" customWidth="1"/>
    <col min="25" max="25" width="6.5703125" customWidth="1"/>
    <col min="26" max="27" width="7.85546875" customWidth="1"/>
    <col min="28" max="28" width="7.42578125" bestFit="1" customWidth="1"/>
    <col min="29" max="29" width="6.42578125" bestFit="1" customWidth="1"/>
    <col min="30" max="34" width="6.5703125" hidden="1" customWidth="1" outlineLevel="1"/>
    <col min="35" max="35" width="5.5703125" hidden="1" customWidth="1" outlineLevel="1"/>
    <col min="36" max="36" width="7.140625" customWidth="1" collapsed="1"/>
    <col min="37" max="61" width="9.140625" hidden="1" customWidth="1"/>
    <col min="62" max="62" width="3.140625" customWidth="1"/>
  </cols>
  <sheetData>
    <row r="1" spans="1:62" ht="37.5" customHeight="1" x14ac:dyDescent="0.2">
      <c r="A1" s="311" t="s">
        <v>100</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2"/>
      <c r="BF1" s="312"/>
      <c r="BG1" s="312"/>
      <c r="BH1" s="312"/>
      <c r="BI1" s="312"/>
      <c r="BJ1" s="312"/>
    </row>
    <row r="2" spans="1:62" ht="3" customHeight="1" x14ac:dyDescent="0.25">
      <c r="A2" s="10"/>
      <c r="B2" s="11"/>
      <c r="C2" s="11"/>
      <c r="D2" s="11"/>
      <c r="E2" s="11"/>
      <c r="F2" s="11"/>
      <c r="G2" s="11"/>
      <c r="H2" s="11"/>
      <c r="I2" s="11"/>
      <c r="J2" s="11"/>
      <c r="K2" s="11"/>
      <c r="L2" s="11"/>
      <c r="M2" s="11"/>
      <c r="N2" s="11"/>
      <c r="O2" s="11"/>
      <c r="P2" s="11"/>
      <c r="Q2" s="11"/>
      <c r="R2" s="11"/>
      <c r="S2" s="11"/>
      <c r="T2" s="11"/>
      <c r="U2" s="11"/>
      <c r="V2" s="7"/>
      <c r="W2" s="11"/>
      <c r="X2" s="11"/>
      <c r="Y2" s="11"/>
      <c r="Z2" s="11"/>
      <c r="AA2" s="11"/>
      <c r="AB2" s="11"/>
      <c r="AC2" s="11"/>
      <c r="AD2" s="11"/>
      <c r="AE2" s="11"/>
      <c r="AF2" s="11"/>
      <c r="AG2" s="11"/>
      <c r="AH2" s="11"/>
      <c r="AI2" s="11"/>
      <c r="AJ2" s="11"/>
      <c r="AK2" s="7"/>
      <c r="AL2" s="7"/>
      <c r="AM2" s="7"/>
      <c r="AN2" s="7"/>
      <c r="AO2" s="7"/>
      <c r="AP2" s="7"/>
      <c r="AQ2" s="7"/>
      <c r="AR2" s="7"/>
      <c r="AS2" s="7"/>
      <c r="AT2" s="7"/>
      <c r="AU2" s="7"/>
      <c r="AV2" s="7"/>
      <c r="AW2" s="7"/>
      <c r="AX2" s="7"/>
      <c r="AY2" s="7"/>
      <c r="AZ2" s="7"/>
      <c r="BA2" s="7"/>
      <c r="BB2" s="7"/>
      <c r="BC2" s="7"/>
      <c r="BD2" s="7"/>
      <c r="BE2" s="7"/>
      <c r="BF2" s="7"/>
      <c r="BG2" s="7"/>
      <c r="BH2" s="7"/>
      <c r="BI2" s="7"/>
      <c r="BJ2" s="11"/>
    </row>
    <row r="3" spans="1:62" ht="13.5" x14ac:dyDescent="0.25">
      <c r="A3" s="317" t="s">
        <v>62</v>
      </c>
      <c r="B3" s="319" t="s">
        <v>103</v>
      </c>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1"/>
      <c r="AK3" s="13"/>
      <c r="AL3" s="13"/>
      <c r="AM3" s="13"/>
      <c r="AN3" s="13"/>
      <c r="AO3" s="13"/>
      <c r="AP3" s="13"/>
      <c r="AQ3" s="13"/>
      <c r="AR3" s="13"/>
      <c r="AS3" s="13"/>
      <c r="AT3" s="13"/>
      <c r="AU3" s="13"/>
      <c r="AV3" s="13"/>
      <c r="AW3" s="13"/>
      <c r="AX3" s="13"/>
      <c r="AY3" s="13"/>
      <c r="AZ3" s="7"/>
      <c r="BA3" s="7"/>
      <c r="BB3" s="7"/>
      <c r="BC3" s="7"/>
      <c r="BD3" s="7"/>
      <c r="BE3" s="7"/>
      <c r="BF3" s="7"/>
      <c r="BG3" s="7"/>
      <c r="BH3" s="7"/>
      <c r="BI3" s="7"/>
      <c r="BJ3" s="317" t="s">
        <v>62</v>
      </c>
    </row>
    <row r="4" spans="1:62" ht="3" customHeight="1" x14ac:dyDescent="0.25">
      <c r="A4" s="318"/>
      <c r="B4" s="11"/>
      <c r="C4" s="11"/>
      <c r="D4" s="11"/>
      <c r="E4" s="11"/>
      <c r="F4" s="11"/>
      <c r="G4" s="11"/>
      <c r="H4" s="11"/>
      <c r="I4" s="11"/>
      <c r="J4" s="11"/>
      <c r="K4" s="11"/>
      <c r="L4" s="11"/>
      <c r="M4" s="11"/>
      <c r="N4" s="11"/>
      <c r="O4" s="11"/>
      <c r="P4" s="11"/>
      <c r="Q4" s="11"/>
      <c r="R4" s="11"/>
      <c r="S4" s="11"/>
      <c r="T4" s="11"/>
      <c r="U4" s="11"/>
      <c r="V4" s="7"/>
      <c r="W4" s="11" t="s">
        <v>63</v>
      </c>
      <c r="X4" s="11"/>
      <c r="Y4" s="11"/>
      <c r="Z4" s="11"/>
      <c r="AA4" s="11"/>
      <c r="AB4" s="11"/>
      <c r="AC4" s="11"/>
      <c r="AD4" s="11"/>
      <c r="AE4" s="11"/>
      <c r="AF4" s="11"/>
      <c r="AG4" s="11"/>
      <c r="AH4" s="11"/>
      <c r="AI4" s="11"/>
      <c r="AJ4" s="11"/>
      <c r="AK4" s="7"/>
      <c r="AL4" s="7"/>
      <c r="AM4" s="7"/>
      <c r="AN4" s="7"/>
      <c r="AO4" s="7"/>
      <c r="AP4" s="7"/>
      <c r="AQ4" s="7"/>
      <c r="AR4" s="7"/>
      <c r="AS4" s="7"/>
      <c r="AT4" s="7"/>
      <c r="AU4" s="7"/>
      <c r="AV4" s="7"/>
      <c r="AW4" s="7"/>
      <c r="AX4" s="7"/>
      <c r="AY4" s="7"/>
      <c r="AZ4" s="7"/>
      <c r="BA4" s="7"/>
      <c r="BB4" s="7"/>
      <c r="BC4" s="7"/>
      <c r="BD4" s="7"/>
      <c r="BE4" s="7"/>
      <c r="BF4" s="7"/>
      <c r="BG4" s="7"/>
      <c r="BH4" s="7"/>
      <c r="BI4" s="7"/>
      <c r="BJ4" s="318"/>
    </row>
    <row r="5" spans="1:62" ht="13.5" x14ac:dyDescent="0.25">
      <c r="A5" s="318"/>
      <c r="B5" s="14" t="s">
        <v>0</v>
      </c>
      <c r="C5" s="14"/>
      <c r="D5" s="11"/>
      <c r="E5" s="14" t="s">
        <v>1</v>
      </c>
      <c r="F5" s="14"/>
      <c r="G5" s="14"/>
      <c r="H5" s="11"/>
      <c r="I5" s="319" t="s">
        <v>59</v>
      </c>
      <c r="J5" s="322"/>
      <c r="K5" s="322"/>
      <c r="L5" s="322"/>
      <c r="M5" s="322"/>
      <c r="N5" s="322"/>
      <c r="O5" s="322"/>
      <c r="P5" s="322"/>
      <c r="Q5" s="322"/>
      <c r="R5" s="322"/>
      <c r="S5" s="322"/>
      <c r="T5" s="322"/>
      <c r="U5" s="323"/>
      <c r="V5" s="15"/>
      <c r="W5" s="16"/>
      <c r="X5" s="319" t="s">
        <v>189</v>
      </c>
      <c r="Y5" s="322"/>
      <c r="Z5" s="322"/>
      <c r="AA5" s="322"/>
      <c r="AB5" s="322"/>
      <c r="AC5" s="322"/>
      <c r="AD5" s="322"/>
      <c r="AE5" s="322"/>
      <c r="AF5" s="322"/>
      <c r="AG5" s="322"/>
      <c r="AH5" s="322"/>
      <c r="AI5" s="322"/>
      <c r="AJ5" s="323"/>
      <c r="AK5" s="15"/>
      <c r="AL5" s="15"/>
      <c r="AM5" s="324" t="s">
        <v>66</v>
      </c>
      <c r="AN5" s="324"/>
      <c r="AO5" s="324"/>
      <c r="AP5" s="324"/>
      <c r="AQ5" s="324"/>
      <c r="AR5" s="324"/>
      <c r="AS5" s="324"/>
      <c r="AT5" s="324"/>
      <c r="AU5" s="324"/>
      <c r="AV5" s="324"/>
      <c r="AW5" s="324"/>
      <c r="AX5" s="324"/>
      <c r="AY5" s="324"/>
      <c r="AZ5" s="7"/>
      <c r="BA5" s="4">
        <f>COUNT(B9:B10)</f>
        <v>1</v>
      </c>
      <c r="BB5" s="4">
        <f>COUNT(B23:F24)</f>
        <v>1</v>
      </c>
      <c r="BC5" s="4">
        <f>COUNT(B23:F23,B25:F25)</f>
        <v>1</v>
      </c>
      <c r="BD5" s="4">
        <f>COUNT(B23:B26)</f>
        <v>1</v>
      </c>
      <c r="BE5" s="4">
        <f>COUNT(D23:D26)</f>
        <v>0</v>
      </c>
      <c r="BF5" s="4">
        <f>COUNT(F23:F26)</f>
        <v>0</v>
      </c>
      <c r="BG5" s="7"/>
      <c r="BH5" s="7"/>
      <c r="BI5" s="7"/>
      <c r="BJ5" s="318"/>
    </row>
    <row r="6" spans="1:62" ht="13.5" x14ac:dyDescent="0.25">
      <c r="A6" s="318"/>
      <c r="B6" s="325" t="s">
        <v>97</v>
      </c>
      <c r="C6" s="326"/>
      <c r="D6" s="17"/>
      <c r="E6" s="325" t="s">
        <v>107</v>
      </c>
      <c r="F6" s="327"/>
      <c r="G6" s="326"/>
      <c r="H6" s="17"/>
      <c r="I6" s="18" t="str">
        <f>IF(U6&lt;&gt;0,CONCATENATE(BC6," (",BD6,")"),CONCATENATE(,"PROVIDE ",BC6," (",BD6,") =&gt;"))</f>
        <v>THICKNESS (micron)</v>
      </c>
      <c r="J6" s="18"/>
      <c r="K6" s="18"/>
      <c r="L6" s="18"/>
      <c r="M6" s="18"/>
      <c r="N6" s="18"/>
      <c r="O6" s="18"/>
      <c r="P6" s="18"/>
      <c r="Q6" s="18"/>
      <c r="R6" s="18"/>
      <c r="S6" s="18"/>
      <c r="T6" s="18"/>
      <c r="U6" s="19">
        <v>75</v>
      </c>
      <c r="V6" s="20"/>
      <c r="W6" s="21"/>
      <c r="X6" s="18" t="str">
        <f>IF(AJ6&lt;&gt;0,CONCATENATE(BC6," (",BD6,")"),CONCATENATE(,"PROVIDE ",BC6," (",BD6,") =&gt;"))</f>
        <v>THICKNESS (micron)</v>
      </c>
      <c r="Y6" s="18"/>
      <c r="Z6" s="18"/>
      <c r="AA6" s="18"/>
      <c r="AB6" s="18"/>
      <c r="AC6" s="18"/>
      <c r="AD6" s="18"/>
      <c r="AE6" s="18"/>
      <c r="AF6" s="18"/>
      <c r="AG6" s="18"/>
      <c r="AH6" s="18"/>
      <c r="AI6" s="18"/>
      <c r="AJ6" s="19">
        <v>65</v>
      </c>
      <c r="AK6" s="20"/>
      <c r="AL6" s="20"/>
      <c r="AM6" s="18" t="str">
        <f>CONCATENATE(BC6," (",BD6,")")</f>
        <v>THICKNESS (micron)</v>
      </c>
      <c r="AN6" s="18"/>
      <c r="AO6" s="18"/>
      <c r="AP6" s="18"/>
      <c r="AQ6" s="18"/>
      <c r="AR6" s="18"/>
      <c r="AS6" s="18"/>
      <c r="AT6" s="18"/>
      <c r="AU6" s="18"/>
      <c r="AV6" s="18"/>
      <c r="AW6" s="18"/>
      <c r="AX6" s="18"/>
      <c r="AY6" s="246">
        <f>U6</f>
        <v>75</v>
      </c>
      <c r="AZ6" s="7"/>
      <c r="BA6" s="4">
        <f>3*(BA5*4+BB5*2+BC5)+(3*BD5+2*BE5+BF5)</f>
        <v>24</v>
      </c>
      <c r="BB6" s="4" t="str">
        <f>LOOKUP(1,B9:C11,C9:C11)</f>
        <v>TON</v>
      </c>
      <c r="BC6" s="4" t="str">
        <f>IF(BD5=1,"THICKNESS",IF(BE5=1,"SECTION","VOLUME"))</f>
        <v>THICKNESS</v>
      </c>
      <c r="BD6" s="4" t="str">
        <f>IF(BD5=1,LOOKUP(1,B23:B26,C23:C26),IF(BE5=1,LOOKUP(1,D23:D26,E23:E26),LOOKUP(1,F23:F26,G23:G26)))</f>
        <v>micron</v>
      </c>
      <c r="BE6" s="90"/>
      <c r="BF6" s="90"/>
      <c r="BG6" s="7"/>
      <c r="BH6" s="7"/>
      <c r="BI6" s="7"/>
      <c r="BJ6" s="318"/>
    </row>
    <row r="7" spans="1:62" ht="3" customHeight="1" x14ac:dyDescent="0.25">
      <c r="A7" s="318"/>
      <c r="B7" s="11"/>
      <c r="C7" s="11"/>
      <c r="D7" s="11"/>
      <c r="E7" s="11"/>
      <c r="F7" s="11"/>
      <c r="G7" s="11"/>
      <c r="H7" s="11"/>
      <c r="I7" s="22"/>
      <c r="J7" s="22"/>
      <c r="K7" s="22"/>
      <c r="L7" s="22"/>
      <c r="M7" s="22"/>
      <c r="N7" s="22"/>
      <c r="O7" s="22"/>
      <c r="P7" s="22"/>
      <c r="Q7" s="22"/>
      <c r="R7" s="22"/>
      <c r="S7" s="22"/>
      <c r="T7" s="22"/>
      <c r="U7" s="23"/>
      <c r="V7" s="24"/>
      <c r="W7" s="23"/>
      <c r="X7" s="23"/>
      <c r="Y7" s="23"/>
      <c r="Z7" s="23"/>
      <c r="AA7" s="23"/>
      <c r="AB7" s="23"/>
      <c r="AC7" s="23"/>
      <c r="AD7" s="23"/>
      <c r="AE7" s="23"/>
      <c r="AF7" s="23"/>
      <c r="AG7" s="23"/>
      <c r="AH7" s="23"/>
      <c r="AI7" s="23"/>
      <c r="AJ7" s="23"/>
      <c r="AK7" s="24"/>
      <c r="AL7" s="24"/>
      <c r="AM7" s="24"/>
      <c r="AN7" s="24"/>
      <c r="AO7" s="24"/>
      <c r="AP7" s="24"/>
      <c r="AQ7" s="24"/>
      <c r="AR7" s="24"/>
      <c r="AS7" s="24"/>
      <c r="AT7" s="24"/>
      <c r="AU7" s="24"/>
      <c r="AV7" s="24"/>
      <c r="AW7" s="24"/>
      <c r="AX7" s="24"/>
      <c r="AY7" s="24"/>
      <c r="AZ7" s="7"/>
      <c r="BA7" s="7"/>
      <c r="BB7" s="7"/>
      <c r="BC7" s="7"/>
      <c r="BD7" s="7"/>
      <c r="BE7" s="90"/>
      <c r="BF7" s="90"/>
      <c r="BG7" s="7"/>
      <c r="BH7" s="7"/>
      <c r="BI7" s="7"/>
      <c r="BJ7" s="318"/>
    </row>
    <row r="8" spans="1:62" ht="13.5" x14ac:dyDescent="0.25">
      <c r="A8" s="318"/>
      <c r="B8" s="25" t="str">
        <f>IF(COUNT(B9:B11)&gt;1,"&gt;1 UNIT SELECTED",IF(COUNT(B9:B11)=0,"NO UNIT SELECTED","WEIGHT UNIT"))</f>
        <v>WEIGHT UNIT</v>
      </c>
      <c r="C8" s="25"/>
      <c r="D8" s="26"/>
      <c r="E8" s="302" t="s">
        <v>18</v>
      </c>
      <c r="F8" s="302" t="str">
        <f>CONCATENATE(B6,"/",BB6)</f>
        <v>$/TON</v>
      </c>
      <c r="G8" s="302" t="s">
        <v>19</v>
      </c>
      <c r="H8" s="11"/>
      <c r="I8" s="2" t="s">
        <v>2</v>
      </c>
      <c r="J8" s="27">
        <v>1</v>
      </c>
      <c r="K8" s="27">
        <v>2</v>
      </c>
      <c r="L8" s="27">
        <v>1</v>
      </c>
      <c r="M8" s="27"/>
      <c r="N8" s="27"/>
      <c r="O8" s="27"/>
      <c r="P8" s="27"/>
      <c r="Q8" s="27"/>
      <c r="R8" s="27"/>
      <c r="S8" s="27"/>
      <c r="T8" s="27"/>
      <c r="U8" s="302"/>
      <c r="V8" s="28"/>
      <c r="W8" s="23"/>
      <c r="X8" s="2" t="s">
        <v>2</v>
      </c>
      <c r="Y8" s="27">
        <v>1</v>
      </c>
      <c r="Z8" s="27">
        <v>2</v>
      </c>
      <c r="AA8" s="27">
        <v>1</v>
      </c>
      <c r="AB8" s="27"/>
      <c r="AC8" s="27"/>
      <c r="AD8" s="27"/>
      <c r="AE8" s="27"/>
      <c r="AF8" s="27"/>
      <c r="AG8" s="27"/>
      <c r="AH8" s="27"/>
      <c r="AI8" s="27"/>
      <c r="AJ8" s="302"/>
      <c r="AK8" s="28"/>
      <c r="AL8" s="28"/>
      <c r="AM8" s="2" t="s">
        <v>2</v>
      </c>
      <c r="AN8" s="29">
        <f>Y8</f>
        <v>1</v>
      </c>
      <c r="AO8" s="29">
        <f>Z8</f>
        <v>2</v>
      </c>
      <c r="AP8" s="29">
        <f>AA8</f>
        <v>1</v>
      </c>
      <c r="AQ8" s="29">
        <f>AB8</f>
        <v>0</v>
      </c>
      <c r="AR8" s="29">
        <f t="shared" ref="AR8:AX19" si="0">AC8</f>
        <v>0</v>
      </c>
      <c r="AS8" s="29">
        <f t="shared" si="0"/>
        <v>0</v>
      </c>
      <c r="AT8" s="29">
        <f t="shared" si="0"/>
        <v>0</v>
      </c>
      <c r="AU8" s="29">
        <f t="shared" si="0"/>
        <v>0</v>
      </c>
      <c r="AV8" s="29">
        <f t="shared" si="0"/>
        <v>0</v>
      </c>
      <c r="AW8" s="29">
        <f t="shared" si="0"/>
        <v>0</v>
      </c>
      <c r="AX8" s="29">
        <f t="shared" si="0"/>
        <v>0</v>
      </c>
      <c r="AY8" s="302"/>
      <c r="AZ8" s="7"/>
      <c r="BA8" s="4" t="s">
        <v>72</v>
      </c>
      <c r="BB8" s="4" t="s">
        <v>71</v>
      </c>
      <c r="BC8" s="4" t="s">
        <v>73</v>
      </c>
      <c r="BD8" s="5" t="s">
        <v>74</v>
      </c>
      <c r="BE8" s="90"/>
      <c r="BF8" s="90"/>
      <c r="BG8" s="7"/>
      <c r="BH8" s="5" t="s">
        <v>3</v>
      </c>
      <c r="BI8" s="5" t="s">
        <v>4</v>
      </c>
      <c r="BJ8" s="318"/>
    </row>
    <row r="9" spans="1:62" ht="13.5" x14ac:dyDescent="0.25">
      <c r="A9" s="318"/>
      <c r="B9" s="30"/>
      <c r="C9" s="4" t="s">
        <v>5</v>
      </c>
      <c r="D9" s="31"/>
      <c r="E9" s="32" t="s">
        <v>104</v>
      </c>
      <c r="F9" s="33">
        <v>1250</v>
      </c>
      <c r="G9" s="34">
        <v>0.92600000000000005</v>
      </c>
      <c r="H9" s="11"/>
      <c r="I9" s="4" t="str">
        <f>IF($E9="","",$E9)</f>
        <v>C6LL</v>
      </c>
      <c r="J9" s="35">
        <v>1</v>
      </c>
      <c r="K9" s="35">
        <v>0.65</v>
      </c>
      <c r="L9" s="35">
        <v>1</v>
      </c>
      <c r="M9" s="35"/>
      <c r="N9" s="35"/>
      <c r="O9" s="35"/>
      <c r="P9" s="35"/>
      <c r="Q9" s="35"/>
      <c r="R9" s="35"/>
      <c r="S9" s="35"/>
      <c r="T9" s="35"/>
      <c r="U9" s="36">
        <f>SUMPRODUCT(J9:T9,J20:T20)</f>
        <v>0.82499999999999996</v>
      </c>
      <c r="V9" s="37">
        <f>IF($C$13&lt;&gt;1,U9*$G9,IF(U9&lt;&gt;0,U9/$G9,""))</f>
        <v>0.8909287257019437</v>
      </c>
      <c r="W9" s="38"/>
      <c r="X9" s="4" t="str">
        <f>IF($E9="","",$E9)</f>
        <v>C6LL</v>
      </c>
      <c r="Y9" s="35"/>
      <c r="Z9" s="35"/>
      <c r="AA9" s="35"/>
      <c r="AB9" s="35"/>
      <c r="AC9" s="35"/>
      <c r="AD9" s="35"/>
      <c r="AE9" s="35"/>
      <c r="AF9" s="35"/>
      <c r="AG9" s="35"/>
      <c r="AH9" s="35"/>
      <c r="AI9" s="35"/>
      <c r="AJ9" s="36">
        <f>SUMPRODUCT(Y9:AI9,Y20:AI20)</f>
        <v>0</v>
      </c>
      <c r="AK9" s="37" t="str">
        <f t="shared" ref="AK9:AK19" si="1">IF($C$13&lt;&gt;1,AJ9*$G9,IF(AJ9&lt;&gt;0,AJ9/$G9,""))</f>
        <v/>
      </c>
      <c r="AL9" s="39"/>
      <c r="AM9" s="4" t="str">
        <f t="shared" ref="AM9:AM18" si="2">$E9</f>
        <v>C6LL</v>
      </c>
      <c r="AN9" s="40">
        <f t="shared" ref="AN9:AQ19" si="3">Y9</f>
        <v>0</v>
      </c>
      <c r="AO9" s="40">
        <f t="shared" si="3"/>
        <v>0</v>
      </c>
      <c r="AP9" s="40">
        <f t="shared" si="3"/>
        <v>0</v>
      </c>
      <c r="AQ9" s="40">
        <f t="shared" si="3"/>
        <v>0</v>
      </c>
      <c r="AR9" s="40">
        <f t="shared" si="0"/>
        <v>0</v>
      </c>
      <c r="AS9" s="40">
        <f t="shared" si="0"/>
        <v>0</v>
      </c>
      <c r="AT9" s="40">
        <f t="shared" si="0"/>
        <v>0</v>
      </c>
      <c r="AU9" s="40">
        <f t="shared" si="0"/>
        <v>0</v>
      </c>
      <c r="AV9" s="40">
        <f t="shared" si="0"/>
        <v>0</v>
      </c>
      <c r="AW9" s="40">
        <f t="shared" si="0"/>
        <v>0</v>
      </c>
      <c r="AX9" s="40">
        <f t="shared" si="0"/>
        <v>0</v>
      </c>
      <c r="AY9" s="36">
        <f>SUMPRODUCT(AN9:AX9,AN20:AX20)</f>
        <v>0</v>
      </c>
      <c r="AZ9" s="37" t="str">
        <f t="shared" ref="AZ9:AZ19" si="4">IF($C$13&lt;&gt;1,AY9*$G9,IF(AY9&lt;&gt;0,AY9/$G9,""))</f>
        <v/>
      </c>
      <c r="BA9" s="4" t="s">
        <v>6</v>
      </c>
      <c r="BB9" s="4" t="s">
        <v>7</v>
      </c>
      <c r="BC9" s="4">
        <v>1</v>
      </c>
      <c r="BD9" s="5" t="s">
        <v>8</v>
      </c>
      <c r="BE9" s="5"/>
      <c r="BF9" s="5"/>
      <c r="BG9" s="5" t="s">
        <v>8</v>
      </c>
      <c r="BH9" s="4">
        <f t="shared" ref="BH9:BH32" si="5">IF(B$10=1,0.001,1)</f>
        <v>1E-3</v>
      </c>
      <c r="BI9" s="5">
        <f t="shared" ref="BI9:BI32" si="6">BH9*BE9</f>
        <v>0</v>
      </c>
      <c r="BJ9" s="318"/>
    </row>
    <row r="10" spans="1:62" ht="13.5" x14ac:dyDescent="0.25">
      <c r="A10" s="318"/>
      <c r="B10" s="41">
        <v>1</v>
      </c>
      <c r="C10" s="4" t="s">
        <v>9</v>
      </c>
      <c r="D10" s="31"/>
      <c r="E10" s="42" t="s">
        <v>105</v>
      </c>
      <c r="F10" s="43">
        <v>1080</v>
      </c>
      <c r="G10" s="44">
        <v>0.95199999999999996</v>
      </c>
      <c r="H10" s="11"/>
      <c r="I10" s="4" t="str">
        <f t="shared" ref="I10:I18" si="7">IF($E10="","",$E10)</f>
        <v>HDPE</v>
      </c>
      <c r="J10" s="45"/>
      <c r="K10" s="45">
        <v>0.35</v>
      </c>
      <c r="L10" s="45"/>
      <c r="M10" s="45"/>
      <c r="N10" s="45"/>
      <c r="O10" s="45"/>
      <c r="P10" s="45"/>
      <c r="Q10" s="45"/>
      <c r="R10" s="45"/>
      <c r="S10" s="45"/>
      <c r="T10" s="45"/>
      <c r="U10" s="36">
        <f>SUMPRODUCT(J10:T10,J20:T20)</f>
        <v>0.17499999999999999</v>
      </c>
      <c r="V10" s="37">
        <f t="shared" ref="V10:V17" si="8">IF($C$13&lt;&gt;1,U10*$G10,IF(U10&lt;&gt;0,U10/$G10,""))</f>
        <v>0.18382352941176469</v>
      </c>
      <c r="W10" s="38"/>
      <c r="X10" s="4" t="str">
        <f t="shared" ref="X10:X18" si="9">IF($E10="","",$E10)</f>
        <v>HDPE</v>
      </c>
      <c r="Y10" s="45"/>
      <c r="Z10" s="45">
        <v>0.55000000000000004</v>
      </c>
      <c r="AA10" s="45"/>
      <c r="AB10" s="45"/>
      <c r="AC10" s="45"/>
      <c r="AD10" s="45"/>
      <c r="AE10" s="45"/>
      <c r="AF10" s="45"/>
      <c r="AG10" s="45"/>
      <c r="AH10" s="45"/>
      <c r="AI10" s="45"/>
      <c r="AJ10" s="36">
        <f>SUMPRODUCT(Y10:AI10,Y20:AI20)</f>
        <v>0.27500000000000002</v>
      </c>
      <c r="AK10" s="37">
        <f t="shared" si="1"/>
        <v>0.28886554621848742</v>
      </c>
      <c r="AL10" s="39"/>
      <c r="AM10" s="4" t="str">
        <f t="shared" si="2"/>
        <v>HDPE</v>
      </c>
      <c r="AN10" s="40">
        <f t="shared" si="3"/>
        <v>0</v>
      </c>
      <c r="AO10" s="40">
        <f t="shared" si="3"/>
        <v>0.55000000000000004</v>
      </c>
      <c r="AP10" s="40">
        <f t="shared" si="3"/>
        <v>0</v>
      </c>
      <c r="AQ10" s="40">
        <f t="shared" si="3"/>
        <v>0</v>
      </c>
      <c r="AR10" s="40">
        <f t="shared" si="0"/>
        <v>0</v>
      </c>
      <c r="AS10" s="40">
        <f t="shared" si="0"/>
        <v>0</v>
      </c>
      <c r="AT10" s="40">
        <f t="shared" si="0"/>
        <v>0</v>
      </c>
      <c r="AU10" s="40">
        <f t="shared" si="0"/>
        <v>0</v>
      </c>
      <c r="AV10" s="40">
        <f t="shared" si="0"/>
        <v>0</v>
      </c>
      <c r="AW10" s="40">
        <f t="shared" si="0"/>
        <v>0</v>
      </c>
      <c r="AX10" s="40">
        <f t="shared" si="0"/>
        <v>0</v>
      </c>
      <c r="AY10" s="36">
        <f>SUMPRODUCT(AN10:AX10,AN20:AX20)</f>
        <v>0.27500000000000002</v>
      </c>
      <c r="AZ10" s="37">
        <f t="shared" si="4"/>
        <v>0.28886554621848742</v>
      </c>
      <c r="BA10" s="4" t="s">
        <v>6</v>
      </c>
      <c r="BB10" s="4" t="s">
        <v>10</v>
      </c>
      <c r="BC10" s="4">
        <v>2</v>
      </c>
      <c r="BD10" s="5" t="s">
        <v>11</v>
      </c>
      <c r="BE10" s="4">
        <f>(25.4*0.001)^2*(0.3048)*2.2046*1000</f>
        <v>0.43352305553280002</v>
      </c>
      <c r="BF10" s="5" t="s">
        <v>89</v>
      </c>
      <c r="BG10" s="5" t="s">
        <v>12</v>
      </c>
      <c r="BH10" s="4">
        <f t="shared" si="5"/>
        <v>1E-3</v>
      </c>
      <c r="BI10" s="5">
        <f>BH10*BE10</f>
        <v>4.3352305553280004E-4</v>
      </c>
      <c r="BJ10" s="318"/>
    </row>
    <row r="11" spans="1:62" ht="13.5" x14ac:dyDescent="0.25">
      <c r="A11" s="318"/>
      <c r="B11" s="47"/>
      <c r="C11" s="4" t="s">
        <v>6</v>
      </c>
      <c r="D11" s="31"/>
      <c r="E11" s="41" t="s">
        <v>106</v>
      </c>
      <c r="F11" s="48">
        <v>1330</v>
      </c>
      <c r="G11" s="49">
        <v>0.91800000000000004</v>
      </c>
      <c r="H11" s="11"/>
      <c r="I11" s="4" t="str">
        <f t="shared" si="7"/>
        <v>EXCEED 1018</v>
      </c>
      <c r="J11" s="45"/>
      <c r="K11" s="45"/>
      <c r="L11" s="45"/>
      <c r="M11" s="45"/>
      <c r="N11" s="45"/>
      <c r="O11" s="45"/>
      <c r="P11" s="45"/>
      <c r="Q11" s="45"/>
      <c r="R11" s="45"/>
      <c r="S11" s="45"/>
      <c r="T11" s="45"/>
      <c r="U11" s="36">
        <f>SUMPRODUCT(J11:T11,J20:T20)</f>
        <v>0</v>
      </c>
      <c r="V11" s="37" t="str">
        <f t="shared" si="8"/>
        <v/>
      </c>
      <c r="W11" s="38"/>
      <c r="X11" s="4" t="str">
        <f t="shared" si="9"/>
        <v>EXCEED 1018</v>
      </c>
      <c r="Y11" s="45">
        <v>0.7</v>
      </c>
      <c r="Z11" s="45"/>
      <c r="AA11" s="45">
        <v>0.7</v>
      </c>
      <c r="AB11" s="45"/>
      <c r="AC11" s="45"/>
      <c r="AD11" s="45"/>
      <c r="AE11" s="45"/>
      <c r="AF11" s="45"/>
      <c r="AG11" s="45"/>
      <c r="AH11" s="45"/>
      <c r="AI11" s="45"/>
      <c r="AJ11" s="36">
        <f>SUMPRODUCT(Y11:AI11,Y20:AI20)</f>
        <v>0.35</v>
      </c>
      <c r="AK11" s="37">
        <f t="shared" si="1"/>
        <v>0.38126361655773416</v>
      </c>
      <c r="AL11" s="39"/>
      <c r="AM11" s="4" t="str">
        <f t="shared" si="2"/>
        <v>EXCEED 1018</v>
      </c>
      <c r="AN11" s="40">
        <f t="shared" si="3"/>
        <v>0.7</v>
      </c>
      <c r="AO11" s="40">
        <f t="shared" si="3"/>
        <v>0</v>
      </c>
      <c r="AP11" s="40">
        <f t="shared" si="3"/>
        <v>0.7</v>
      </c>
      <c r="AQ11" s="40">
        <f t="shared" si="3"/>
        <v>0</v>
      </c>
      <c r="AR11" s="40">
        <f t="shared" si="0"/>
        <v>0</v>
      </c>
      <c r="AS11" s="40">
        <f t="shared" si="0"/>
        <v>0</v>
      </c>
      <c r="AT11" s="40">
        <f t="shared" si="0"/>
        <v>0</v>
      </c>
      <c r="AU11" s="40">
        <f t="shared" si="0"/>
        <v>0</v>
      </c>
      <c r="AV11" s="40">
        <f t="shared" si="0"/>
        <v>0</v>
      </c>
      <c r="AW11" s="40">
        <f t="shared" si="0"/>
        <v>0</v>
      </c>
      <c r="AX11" s="40">
        <f t="shared" si="0"/>
        <v>0</v>
      </c>
      <c r="AY11" s="36">
        <f>SUMPRODUCT(AN11:AX11,AN20:AX20)</f>
        <v>0.35</v>
      </c>
      <c r="AZ11" s="37">
        <f t="shared" si="4"/>
        <v>0.38126361655773416</v>
      </c>
      <c r="BA11" s="4" t="s">
        <v>6</v>
      </c>
      <c r="BB11" s="4" t="s">
        <v>13</v>
      </c>
      <c r="BC11" s="4">
        <v>3</v>
      </c>
      <c r="BD11" s="5" t="s">
        <v>14</v>
      </c>
      <c r="BE11" s="4">
        <f>(25.4*0.001)*(0.3048)^2*2.2046*1000</f>
        <v>5.2022766663936002</v>
      </c>
      <c r="BF11" s="5" t="s">
        <v>88</v>
      </c>
      <c r="BG11" s="5" t="s">
        <v>15</v>
      </c>
      <c r="BH11" s="4">
        <f t="shared" si="5"/>
        <v>1E-3</v>
      </c>
      <c r="BI11" s="5">
        <f t="shared" si="6"/>
        <v>5.2022766663936005E-3</v>
      </c>
      <c r="BJ11" s="318"/>
    </row>
    <row r="12" spans="1:62" ht="13.5" x14ac:dyDescent="0.25">
      <c r="A12" s="318"/>
      <c r="B12" s="11"/>
      <c r="C12" s="11"/>
      <c r="D12" s="11"/>
      <c r="E12" s="41"/>
      <c r="F12" s="48"/>
      <c r="G12" s="49"/>
      <c r="H12" s="11"/>
      <c r="I12" s="4" t="str">
        <f t="shared" si="7"/>
        <v/>
      </c>
      <c r="J12" s="45"/>
      <c r="K12" s="45"/>
      <c r="L12" s="45"/>
      <c r="M12" s="45"/>
      <c r="N12" s="45"/>
      <c r="O12" s="45"/>
      <c r="P12" s="45"/>
      <c r="Q12" s="45"/>
      <c r="R12" s="45"/>
      <c r="S12" s="45"/>
      <c r="T12" s="45"/>
      <c r="U12" s="36">
        <f>SUMPRODUCT(J12:T12,J20:T20)</f>
        <v>0</v>
      </c>
      <c r="V12" s="37" t="str">
        <f t="shared" si="8"/>
        <v/>
      </c>
      <c r="W12" s="38"/>
      <c r="X12" s="4" t="str">
        <f t="shared" si="9"/>
        <v/>
      </c>
      <c r="Y12" s="45"/>
      <c r="Z12" s="45"/>
      <c r="AA12" s="45"/>
      <c r="AB12" s="45"/>
      <c r="AC12" s="45"/>
      <c r="AD12" s="45"/>
      <c r="AE12" s="45"/>
      <c r="AF12" s="45"/>
      <c r="AG12" s="45"/>
      <c r="AH12" s="45"/>
      <c r="AI12" s="45"/>
      <c r="AJ12" s="36">
        <f>SUMPRODUCT(Y12:AI12,Y20:AI20)</f>
        <v>0</v>
      </c>
      <c r="AK12" s="37" t="str">
        <f t="shared" si="1"/>
        <v/>
      </c>
      <c r="AL12" s="39"/>
      <c r="AM12" s="4">
        <f t="shared" si="2"/>
        <v>0</v>
      </c>
      <c r="AN12" s="40">
        <f t="shared" si="3"/>
        <v>0</v>
      </c>
      <c r="AO12" s="40">
        <f t="shared" si="3"/>
        <v>0</v>
      </c>
      <c r="AP12" s="40">
        <f t="shared" si="3"/>
        <v>0</v>
      </c>
      <c r="AQ12" s="40">
        <f t="shared" si="3"/>
        <v>0</v>
      </c>
      <c r="AR12" s="40">
        <f t="shared" si="0"/>
        <v>0</v>
      </c>
      <c r="AS12" s="40">
        <f t="shared" si="0"/>
        <v>0</v>
      </c>
      <c r="AT12" s="40">
        <f t="shared" si="0"/>
        <v>0</v>
      </c>
      <c r="AU12" s="40">
        <f t="shared" si="0"/>
        <v>0</v>
      </c>
      <c r="AV12" s="40">
        <f t="shared" si="0"/>
        <v>0</v>
      </c>
      <c r="AW12" s="40">
        <f t="shared" si="0"/>
        <v>0</v>
      </c>
      <c r="AX12" s="40">
        <f t="shared" si="0"/>
        <v>0</v>
      </c>
      <c r="AY12" s="36">
        <f>SUMPRODUCT(AN12:AX12,AN20:AX20)</f>
        <v>0</v>
      </c>
      <c r="AZ12" s="37" t="str">
        <f t="shared" si="4"/>
        <v/>
      </c>
      <c r="BA12" s="4" t="s">
        <v>6</v>
      </c>
      <c r="BB12" s="4" t="s">
        <v>16</v>
      </c>
      <c r="BC12" s="4">
        <v>4</v>
      </c>
      <c r="BD12" s="5" t="s">
        <v>17</v>
      </c>
      <c r="BE12" s="4">
        <f>3.7854*2.2046</f>
        <v>8.3452928400000008</v>
      </c>
      <c r="BF12" s="5" t="s">
        <v>92</v>
      </c>
      <c r="BG12" s="5" t="s">
        <v>16</v>
      </c>
      <c r="BH12" s="4">
        <f t="shared" si="5"/>
        <v>1E-3</v>
      </c>
      <c r="BI12" s="5">
        <f t="shared" si="6"/>
        <v>8.3452928400000008E-3</v>
      </c>
      <c r="BJ12" s="318"/>
    </row>
    <row r="13" spans="1:62" ht="13.5" x14ac:dyDescent="0.25">
      <c r="A13" s="318"/>
      <c r="B13" s="302" t="s">
        <v>70</v>
      </c>
      <c r="C13" s="157">
        <v>1</v>
      </c>
      <c r="D13" s="50"/>
      <c r="E13" s="41"/>
      <c r="F13" s="48"/>
      <c r="G13" s="49"/>
      <c r="H13" s="51"/>
      <c r="I13" s="4" t="str">
        <f t="shared" si="7"/>
        <v/>
      </c>
      <c r="J13" s="45"/>
      <c r="K13" s="45"/>
      <c r="L13" s="45"/>
      <c r="M13" s="45"/>
      <c r="N13" s="45"/>
      <c r="O13" s="45"/>
      <c r="P13" s="45"/>
      <c r="Q13" s="45"/>
      <c r="R13" s="45"/>
      <c r="S13" s="45"/>
      <c r="T13" s="45"/>
      <c r="U13" s="36">
        <f>SUMPRODUCT(J13:T13,J20:T20)</f>
        <v>0</v>
      </c>
      <c r="V13" s="37" t="str">
        <f t="shared" si="8"/>
        <v/>
      </c>
      <c r="W13" s="38"/>
      <c r="X13" s="4" t="str">
        <f t="shared" si="9"/>
        <v/>
      </c>
      <c r="Y13" s="45"/>
      <c r="Z13" s="45"/>
      <c r="AA13" s="45"/>
      <c r="AB13" s="45"/>
      <c r="AC13" s="45"/>
      <c r="AD13" s="45"/>
      <c r="AE13" s="45"/>
      <c r="AF13" s="45"/>
      <c r="AG13" s="45"/>
      <c r="AH13" s="45"/>
      <c r="AI13" s="45"/>
      <c r="AJ13" s="36">
        <f>SUMPRODUCT(Y13:AI13,Y20:AI20)</f>
        <v>0</v>
      </c>
      <c r="AK13" s="37" t="str">
        <f t="shared" si="1"/>
        <v/>
      </c>
      <c r="AL13" s="39"/>
      <c r="AM13" s="4">
        <f t="shared" si="2"/>
        <v>0</v>
      </c>
      <c r="AN13" s="40">
        <f t="shared" si="3"/>
        <v>0</v>
      </c>
      <c r="AO13" s="40">
        <f t="shared" si="3"/>
        <v>0</v>
      </c>
      <c r="AP13" s="40">
        <f t="shared" si="3"/>
        <v>0</v>
      </c>
      <c r="AQ13" s="40">
        <f t="shared" si="3"/>
        <v>0</v>
      </c>
      <c r="AR13" s="40">
        <f t="shared" si="0"/>
        <v>0</v>
      </c>
      <c r="AS13" s="40">
        <f t="shared" si="0"/>
        <v>0</v>
      </c>
      <c r="AT13" s="40">
        <f t="shared" si="0"/>
        <v>0</v>
      </c>
      <c r="AU13" s="40">
        <f t="shared" si="0"/>
        <v>0</v>
      </c>
      <c r="AV13" s="40">
        <f t="shared" si="0"/>
        <v>0</v>
      </c>
      <c r="AW13" s="40">
        <f t="shared" si="0"/>
        <v>0</v>
      </c>
      <c r="AX13" s="40">
        <f t="shared" si="0"/>
        <v>0</v>
      </c>
      <c r="AY13" s="36">
        <f>SUMPRODUCT(AN13:AX13,AN20:AX20)</f>
        <v>0</v>
      </c>
      <c r="AZ13" s="37" t="str">
        <f t="shared" si="4"/>
        <v/>
      </c>
      <c r="BA13" s="4" t="s">
        <v>6</v>
      </c>
      <c r="BB13" s="4" t="s">
        <v>20</v>
      </c>
      <c r="BC13" s="4">
        <v>5</v>
      </c>
      <c r="BD13" s="5" t="s">
        <v>11</v>
      </c>
      <c r="BE13" s="4">
        <f>(25.4*0.000001)^2*(0.3048)*2.2046*1000</f>
        <v>4.3352305553279992E-7</v>
      </c>
      <c r="BF13" s="5" t="s">
        <v>89</v>
      </c>
      <c r="BG13" s="5" t="s">
        <v>12</v>
      </c>
      <c r="BH13" s="4">
        <f t="shared" si="5"/>
        <v>1E-3</v>
      </c>
      <c r="BI13" s="5">
        <f t="shared" si="6"/>
        <v>4.3352305553279994E-10</v>
      </c>
      <c r="BJ13" s="318"/>
    </row>
    <row r="14" spans="1:62" ht="13.5" x14ac:dyDescent="0.25">
      <c r="A14" s="318"/>
      <c r="B14" s="11"/>
      <c r="C14" s="11"/>
      <c r="D14" s="11"/>
      <c r="E14" s="41"/>
      <c r="F14" s="48"/>
      <c r="G14" s="49"/>
      <c r="H14" s="11"/>
      <c r="I14" s="4" t="str">
        <f t="shared" si="7"/>
        <v/>
      </c>
      <c r="J14" s="45"/>
      <c r="K14" s="45"/>
      <c r="L14" s="45"/>
      <c r="M14" s="45"/>
      <c r="N14" s="45"/>
      <c r="O14" s="45"/>
      <c r="P14" s="45"/>
      <c r="Q14" s="45"/>
      <c r="R14" s="45"/>
      <c r="S14" s="45"/>
      <c r="T14" s="45"/>
      <c r="U14" s="36">
        <f>SUMPRODUCT(J14:T14,J20:T20)</f>
        <v>0</v>
      </c>
      <c r="V14" s="37" t="str">
        <f t="shared" si="8"/>
        <v/>
      </c>
      <c r="W14" s="38"/>
      <c r="X14" s="4" t="str">
        <f t="shared" si="9"/>
        <v/>
      </c>
      <c r="Y14" s="45"/>
      <c r="Z14" s="45"/>
      <c r="AA14" s="45"/>
      <c r="AB14" s="45"/>
      <c r="AC14" s="45"/>
      <c r="AD14" s="45"/>
      <c r="AE14" s="45"/>
      <c r="AF14" s="45"/>
      <c r="AG14" s="45"/>
      <c r="AH14" s="45"/>
      <c r="AI14" s="45"/>
      <c r="AJ14" s="36">
        <f>SUMPRODUCT(Y14:AI14,Y20:AI20)</f>
        <v>0</v>
      </c>
      <c r="AK14" s="37" t="str">
        <f t="shared" si="1"/>
        <v/>
      </c>
      <c r="AL14" s="39"/>
      <c r="AM14" s="4">
        <f t="shared" si="2"/>
        <v>0</v>
      </c>
      <c r="AN14" s="40">
        <f t="shared" si="3"/>
        <v>0</v>
      </c>
      <c r="AO14" s="40">
        <f t="shared" si="3"/>
        <v>0</v>
      </c>
      <c r="AP14" s="40">
        <f t="shared" si="3"/>
        <v>0</v>
      </c>
      <c r="AQ14" s="40">
        <f t="shared" si="3"/>
        <v>0</v>
      </c>
      <c r="AR14" s="40">
        <f t="shared" si="0"/>
        <v>0</v>
      </c>
      <c r="AS14" s="40">
        <f t="shared" si="0"/>
        <v>0</v>
      </c>
      <c r="AT14" s="40">
        <f t="shared" si="0"/>
        <v>0</v>
      </c>
      <c r="AU14" s="40">
        <f t="shared" si="0"/>
        <v>0</v>
      </c>
      <c r="AV14" s="40">
        <f t="shared" si="0"/>
        <v>0</v>
      </c>
      <c r="AW14" s="40">
        <f t="shared" si="0"/>
        <v>0</v>
      </c>
      <c r="AX14" s="40">
        <f t="shared" si="0"/>
        <v>0</v>
      </c>
      <c r="AY14" s="36">
        <f>SUMPRODUCT(AN14:AX14,AN20:AX20)</f>
        <v>0</v>
      </c>
      <c r="AZ14" s="37" t="str">
        <f t="shared" si="4"/>
        <v/>
      </c>
      <c r="BA14" s="4" t="s">
        <v>6</v>
      </c>
      <c r="BB14" s="4" t="s">
        <v>21</v>
      </c>
      <c r="BC14" s="4">
        <v>6</v>
      </c>
      <c r="BD14" s="5" t="s">
        <v>14</v>
      </c>
      <c r="BE14" s="190">
        <f>(25.4*0.000001)*(0.3048)^2*2.2046*1000</f>
        <v>5.2022766663936005E-3</v>
      </c>
      <c r="BF14" s="5" t="s">
        <v>88</v>
      </c>
      <c r="BG14" s="5" t="s">
        <v>15</v>
      </c>
      <c r="BH14" s="4">
        <f t="shared" si="5"/>
        <v>1E-3</v>
      </c>
      <c r="BI14" s="5">
        <f t="shared" si="6"/>
        <v>5.202276666393601E-6</v>
      </c>
      <c r="BJ14" s="318"/>
    </row>
    <row r="15" spans="1:62" ht="13.5" x14ac:dyDescent="0.25">
      <c r="A15" s="318"/>
      <c r="B15" s="3" t="s">
        <v>102</v>
      </c>
      <c r="C15" s="157">
        <v>1</v>
      </c>
      <c r="D15" s="11"/>
      <c r="E15" s="41"/>
      <c r="F15" s="48"/>
      <c r="G15" s="49"/>
      <c r="H15" s="11"/>
      <c r="I15" s="4" t="str">
        <f t="shared" si="7"/>
        <v/>
      </c>
      <c r="J15" s="45"/>
      <c r="K15" s="45"/>
      <c r="L15" s="45"/>
      <c r="M15" s="45"/>
      <c r="N15" s="45"/>
      <c r="O15" s="45"/>
      <c r="P15" s="45"/>
      <c r="Q15" s="45"/>
      <c r="R15" s="45"/>
      <c r="S15" s="45"/>
      <c r="T15" s="45"/>
      <c r="U15" s="36">
        <f>SUMPRODUCT(J15:T15,J20:T20)</f>
        <v>0</v>
      </c>
      <c r="V15" s="37" t="str">
        <f t="shared" si="8"/>
        <v/>
      </c>
      <c r="W15" s="38"/>
      <c r="X15" s="4" t="str">
        <f t="shared" si="9"/>
        <v/>
      </c>
      <c r="Y15" s="45"/>
      <c r="Z15" s="45"/>
      <c r="AA15" s="45"/>
      <c r="AB15" s="45"/>
      <c r="AC15" s="45"/>
      <c r="AD15" s="45"/>
      <c r="AE15" s="45"/>
      <c r="AF15" s="45"/>
      <c r="AG15" s="45"/>
      <c r="AH15" s="45"/>
      <c r="AI15" s="45"/>
      <c r="AJ15" s="36">
        <f>SUMPRODUCT(Y15:AI15,Y20:AI20)</f>
        <v>0</v>
      </c>
      <c r="AK15" s="37" t="str">
        <f t="shared" si="1"/>
        <v/>
      </c>
      <c r="AL15" s="39"/>
      <c r="AM15" s="4">
        <f t="shared" si="2"/>
        <v>0</v>
      </c>
      <c r="AN15" s="40">
        <f t="shared" si="3"/>
        <v>0</v>
      </c>
      <c r="AO15" s="40">
        <f t="shared" si="3"/>
        <v>0</v>
      </c>
      <c r="AP15" s="40">
        <f t="shared" si="3"/>
        <v>0</v>
      </c>
      <c r="AQ15" s="40">
        <f t="shared" si="3"/>
        <v>0</v>
      </c>
      <c r="AR15" s="40">
        <f t="shared" si="0"/>
        <v>0</v>
      </c>
      <c r="AS15" s="40">
        <f t="shared" si="0"/>
        <v>0</v>
      </c>
      <c r="AT15" s="40">
        <f t="shared" si="0"/>
        <v>0</v>
      </c>
      <c r="AU15" s="40">
        <f t="shared" si="0"/>
        <v>0</v>
      </c>
      <c r="AV15" s="40">
        <f t="shared" si="0"/>
        <v>0</v>
      </c>
      <c r="AW15" s="40">
        <f t="shared" si="0"/>
        <v>0</v>
      </c>
      <c r="AX15" s="40">
        <f t="shared" si="0"/>
        <v>0</v>
      </c>
      <c r="AY15" s="36">
        <f>SUMPRODUCT(AN15:AX15,AN20:AX20)</f>
        <v>0</v>
      </c>
      <c r="AZ15" s="37" t="str">
        <f t="shared" si="4"/>
        <v/>
      </c>
      <c r="BA15" s="4" t="s">
        <v>6</v>
      </c>
      <c r="BB15" s="4" t="s">
        <v>7</v>
      </c>
      <c r="BC15" s="4">
        <v>7</v>
      </c>
      <c r="BD15" s="4" t="s">
        <v>8</v>
      </c>
      <c r="BE15" s="5"/>
      <c r="BF15" s="4" t="s">
        <v>8</v>
      </c>
      <c r="BG15" s="4" t="s">
        <v>8</v>
      </c>
      <c r="BH15" s="4">
        <f t="shared" si="5"/>
        <v>1E-3</v>
      </c>
      <c r="BI15" s="5">
        <f t="shared" si="6"/>
        <v>0</v>
      </c>
      <c r="BJ15" s="318"/>
    </row>
    <row r="16" spans="1:62" ht="13.5" x14ac:dyDescent="0.25">
      <c r="A16" s="318"/>
      <c r="B16" s="203"/>
      <c r="C16" s="203"/>
      <c r="D16" s="11"/>
      <c r="E16" s="41"/>
      <c r="F16" s="48"/>
      <c r="G16" s="49"/>
      <c r="H16" s="11"/>
      <c r="I16" s="4" t="str">
        <f t="shared" si="7"/>
        <v/>
      </c>
      <c r="J16" s="45"/>
      <c r="K16" s="45"/>
      <c r="L16" s="45"/>
      <c r="M16" s="45"/>
      <c r="N16" s="45"/>
      <c r="O16" s="45"/>
      <c r="P16" s="45"/>
      <c r="Q16" s="45"/>
      <c r="R16" s="45"/>
      <c r="S16" s="45"/>
      <c r="T16" s="45"/>
      <c r="U16" s="36">
        <f>SUMPRODUCT(J16:T16,J20:T20)</f>
        <v>0</v>
      </c>
      <c r="V16" s="37" t="str">
        <f t="shared" si="8"/>
        <v/>
      </c>
      <c r="W16" s="38"/>
      <c r="X16" s="4" t="str">
        <f t="shared" si="9"/>
        <v/>
      </c>
      <c r="Y16" s="45"/>
      <c r="Z16" s="45"/>
      <c r="AA16" s="45"/>
      <c r="AB16" s="45"/>
      <c r="AC16" s="45"/>
      <c r="AD16" s="45"/>
      <c r="AE16" s="45"/>
      <c r="AF16" s="45"/>
      <c r="AG16" s="45"/>
      <c r="AH16" s="45"/>
      <c r="AI16" s="45"/>
      <c r="AJ16" s="36">
        <f>SUMPRODUCT(Y16:AI16,Y20:AI20)</f>
        <v>0</v>
      </c>
      <c r="AK16" s="37" t="str">
        <f t="shared" si="1"/>
        <v/>
      </c>
      <c r="AL16" s="39"/>
      <c r="AM16" s="4">
        <f t="shared" si="2"/>
        <v>0</v>
      </c>
      <c r="AN16" s="40">
        <f t="shared" si="3"/>
        <v>0</v>
      </c>
      <c r="AO16" s="40">
        <f t="shared" si="3"/>
        <v>0</v>
      </c>
      <c r="AP16" s="40">
        <f t="shared" si="3"/>
        <v>0</v>
      </c>
      <c r="AQ16" s="40">
        <f t="shared" si="3"/>
        <v>0</v>
      </c>
      <c r="AR16" s="40">
        <f t="shared" si="0"/>
        <v>0</v>
      </c>
      <c r="AS16" s="40">
        <f t="shared" si="0"/>
        <v>0</v>
      </c>
      <c r="AT16" s="40">
        <f t="shared" si="0"/>
        <v>0</v>
      </c>
      <c r="AU16" s="40">
        <f t="shared" si="0"/>
        <v>0</v>
      </c>
      <c r="AV16" s="40">
        <f t="shared" si="0"/>
        <v>0</v>
      </c>
      <c r="AW16" s="40">
        <f t="shared" si="0"/>
        <v>0</v>
      </c>
      <c r="AX16" s="40">
        <f t="shared" si="0"/>
        <v>0</v>
      </c>
      <c r="AY16" s="36">
        <f>SUMPRODUCT(AN16:AX16,AN20:AX20)</f>
        <v>0</v>
      </c>
      <c r="AZ16" s="37" t="str">
        <f t="shared" si="4"/>
        <v/>
      </c>
      <c r="BA16" s="4" t="s">
        <v>6</v>
      </c>
      <c r="BB16" s="4" t="s">
        <v>22</v>
      </c>
      <c r="BC16" s="4">
        <v>8</v>
      </c>
      <c r="BD16" s="5" t="s">
        <v>23</v>
      </c>
      <c r="BE16" s="4">
        <f>(0.001)^2*2.2046*1000</f>
        <v>2.2046000000000001E-3</v>
      </c>
      <c r="BF16" s="5" t="s">
        <v>87</v>
      </c>
      <c r="BG16" s="5" t="s">
        <v>24</v>
      </c>
      <c r="BH16" s="4">
        <f t="shared" si="5"/>
        <v>1E-3</v>
      </c>
      <c r="BI16" s="5">
        <f t="shared" si="6"/>
        <v>2.2046E-6</v>
      </c>
      <c r="BJ16" s="318"/>
    </row>
    <row r="17" spans="1:62" ht="13.5" x14ac:dyDescent="0.25">
      <c r="A17" s="318"/>
      <c r="B17" s="11"/>
      <c r="C17" s="11"/>
      <c r="D17" s="11"/>
      <c r="E17" s="41"/>
      <c r="F17" s="48"/>
      <c r="G17" s="49"/>
      <c r="H17" s="11"/>
      <c r="I17" s="4" t="str">
        <f t="shared" si="7"/>
        <v/>
      </c>
      <c r="J17" s="45"/>
      <c r="K17" s="45"/>
      <c r="L17" s="45"/>
      <c r="M17" s="45"/>
      <c r="N17" s="45"/>
      <c r="O17" s="45"/>
      <c r="P17" s="45"/>
      <c r="Q17" s="45"/>
      <c r="R17" s="45"/>
      <c r="S17" s="45"/>
      <c r="T17" s="45"/>
      <c r="U17" s="36">
        <f>SUMPRODUCT(J17:T17,J20:T20)</f>
        <v>0</v>
      </c>
      <c r="V17" s="37" t="str">
        <f t="shared" si="8"/>
        <v/>
      </c>
      <c r="W17" s="38"/>
      <c r="X17" s="4" t="str">
        <f t="shared" si="9"/>
        <v/>
      </c>
      <c r="Y17" s="45"/>
      <c r="Z17" s="45"/>
      <c r="AA17" s="45"/>
      <c r="AB17" s="45"/>
      <c r="AC17" s="45"/>
      <c r="AD17" s="45"/>
      <c r="AE17" s="45"/>
      <c r="AF17" s="45"/>
      <c r="AG17" s="45"/>
      <c r="AH17" s="45"/>
      <c r="AI17" s="45"/>
      <c r="AJ17" s="36">
        <f>SUMPRODUCT(Y17:AI17,Y20:AI20)</f>
        <v>0</v>
      </c>
      <c r="AK17" s="37" t="str">
        <f t="shared" si="1"/>
        <v/>
      </c>
      <c r="AL17" s="39"/>
      <c r="AM17" s="4">
        <f t="shared" si="2"/>
        <v>0</v>
      </c>
      <c r="AN17" s="40">
        <f t="shared" si="3"/>
        <v>0</v>
      </c>
      <c r="AO17" s="40">
        <f t="shared" si="3"/>
        <v>0</v>
      </c>
      <c r="AP17" s="40">
        <f t="shared" si="3"/>
        <v>0</v>
      </c>
      <c r="AQ17" s="40">
        <f t="shared" si="3"/>
        <v>0</v>
      </c>
      <c r="AR17" s="40">
        <f t="shared" si="0"/>
        <v>0</v>
      </c>
      <c r="AS17" s="40">
        <f t="shared" si="0"/>
        <v>0</v>
      </c>
      <c r="AT17" s="40">
        <f t="shared" si="0"/>
        <v>0</v>
      </c>
      <c r="AU17" s="40">
        <f t="shared" si="0"/>
        <v>0</v>
      </c>
      <c r="AV17" s="40">
        <f t="shared" si="0"/>
        <v>0</v>
      </c>
      <c r="AW17" s="40">
        <f t="shared" si="0"/>
        <v>0</v>
      </c>
      <c r="AX17" s="40">
        <f t="shared" si="0"/>
        <v>0</v>
      </c>
      <c r="AY17" s="36">
        <f>SUMPRODUCT(AN17:AX17,AN20:AX20)</f>
        <v>0</v>
      </c>
      <c r="AZ17" s="37" t="str">
        <f t="shared" si="4"/>
        <v/>
      </c>
      <c r="BA17" s="4" t="s">
        <v>6</v>
      </c>
      <c r="BB17" s="4" t="s">
        <v>25</v>
      </c>
      <c r="BC17" s="4">
        <v>9</v>
      </c>
      <c r="BD17" s="5" t="s">
        <v>26</v>
      </c>
      <c r="BE17" s="4">
        <f>0.001*2.2046*1000</f>
        <v>2.2046000000000001</v>
      </c>
      <c r="BF17" s="5" t="s">
        <v>86</v>
      </c>
      <c r="BG17" s="5" t="s">
        <v>27</v>
      </c>
      <c r="BH17" s="4">
        <f t="shared" si="5"/>
        <v>1E-3</v>
      </c>
      <c r="BI17" s="5">
        <f t="shared" si="6"/>
        <v>2.2046000000000001E-3</v>
      </c>
      <c r="BJ17" s="318"/>
    </row>
    <row r="18" spans="1:62" ht="13.5" x14ac:dyDescent="0.25">
      <c r="A18" s="318"/>
      <c r="B18" s="11"/>
      <c r="C18" s="11"/>
      <c r="D18" s="11"/>
      <c r="E18" s="47"/>
      <c r="F18" s="54"/>
      <c r="G18" s="55"/>
      <c r="H18" s="11"/>
      <c r="I18" s="4" t="str">
        <f t="shared" si="7"/>
        <v/>
      </c>
      <c r="J18" s="56"/>
      <c r="K18" s="56"/>
      <c r="L18" s="56"/>
      <c r="M18" s="56"/>
      <c r="N18" s="56"/>
      <c r="O18" s="56"/>
      <c r="P18" s="56"/>
      <c r="Q18" s="56"/>
      <c r="R18" s="56"/>
      <c r="S18" s="56"/>
      <c r="T18" s="56"/>
      <c r="U18" s="36">
        <f>SUMPRODUCT(J18:T18,J20:T20)</f>
        <v>0</v>
      </c>
      <c r="V18" s="37" t="str">
        <f>IF($C$13&lt;&gt;1,U18*$G18,IF(U18&lt;&gt;0,U18/$G18,""))</f>
        <v/>
      </c>
      <c r="W18" s="38"/>
      <c r="X18" s="4" t="str">
        <f t="shared" si="9"/>
        <v/>
      </c>
      <c r="Y18" s="45"/>
      <c r="Z18" s="45"/>
      <c r="AA18" s="45"/>
      <c r="AB18" s="45"/>
      <c r="AC18" s="45"/>
      <c r="AD18" s="45"/>
      <c r="AE18" s="45"/>
      <c r="AF18" s="45"/>
      <c r="AG18" s="45"/>
      <c r="AH18" s="45"/>
      <c r="AI18" s="45"/>
      <c r="AJ18" s="36">
        <f>SUMPRODUCT(Y18:AI18,Y20:AI20)</f>
        <v>0</v>
      </c>
      <c r="AK18" s="37" t="str">
        <f t="shared" si="1"/>
        <v/>
      </c>
      <c r="AL18" s="39"/>
      <c r="AM18" s="4">
        <f t="shared" si="2"/>
        <v>0</v>
      </c>
      <c r="AN18" s="57">
        <f t="shared" si="3"/>
        <v>0</v>
      </c>
      <c r="AO18" s="57">
        <f t="shared" si="3"/>
        <v>0</v>
      </c>
      <c r="AP18" s="57">
        <f t="shared" si="3"/>
        <v>0</v>
      </c>
      <c r="AQ18" s="57">
        <f t="shared" si="3"/>
        <v>0</v>
      </c>
      <c r="AR18" s="57">
        <f t="shared" si="0"/>
        <v>0</v>
      </c>
      <c r="AS18" s="57">
        <f t="shared" si="0"/>
        <v>0</v>
      </c>
      <c r="AT18" s="57">
        <f t="shared" si="0"/>
        <v>0</v>
      </c>
      <c r="AU18" s="57">
        <f t="shared" si="0"/>
        <v>0</v>
      </c>
      <c r="AV18" s="57">
        <f t="shared" si="0"/>
        <v>0</v>
      </c>
      <c r="AW18" s="57">
        <f t="shared" si="0"/>
        <v>0</v>
      </c>
      <c r="AX18" s="57">
        <f t="shared" si="0"/>
        <v>0</v>
      </c>
      <c r="AY18" s="36">
        <f>SUMPRODUCT(AN18:AX18,AN20:AX20)</f>
        <v>0</v>
      </c>
      <c r="AZ18" s="37" t="str">
        <f t="shared" si="4"/>
        <v/>
      </c>
      <c r="BA18" s="4" t="s">
        <v>6</v>
      </c>
      <c r="BB18" s="4" t="s">
        <v>28</v>
      </c>
      <c r="BC18" s="4">
        <v>10</v>
      </c>
      <c r="BD18" s="5" t="s">
        <v>29</v>
      </c>
      <c r="BE18" s="4">
        <f>2.2046</f>
        <v>2.2046000000000001</v>
      </c>
      <c r="BF18" s="5" t="s">
        <v>93</v>
      </c>
      <c r="BG18" s="5" t="s">
        <v>30</v>
      </c>
      <c r="BH18" s="4">
        <f t="shared" si="5"/>
        <v>1E-3</v>
      </c>
      <c r="BI18" s="5">
        <f t="shared" si="6"/>
        <v>2.2046000000000001E-3</v>
      </c>
      <c r="BJ18" s="318"/>
    </row>
    <row r="19" spans="1:62" ht="13.5" x14ac:dyDescent="0.25">
      <c r="A19" s="318"/>
      <c r="B19" s="69" t="s">
        <v>75</v>
      </c>
      <c r="C19" s="70"/>
      <c r="D19" s="70"/>
      <c r="E19" s="200" t="str">
        <f>E6</f>
        <v>ENABLE 2005</v>
      </c>
      <c r="F19" s="58">
        <v>1350</v>
      </c>
      <c r="G19" s="59">
        <v>0.92</v>
      </c>
      <c r="H19" s="11"/>
      <c r="I19" s="4"/>
      <c r="J19" s="36"/>
      <c r="K19" s="36"/>
      <c r="L19" s="36"/>
      <c r="M19" s="36"/>
      <c r="N19" s="36"/>
      <c r="O19" s="36"/>
      <c r="P19" s="36"/>
      <c r="Q19" s="36"/>
      <c r="R19" s="36"/>
      <c r="S19" s="36"/>
      <c r="T19" s="36"/>
      <c r="U19" s="60"/>
      <c r="V19" s="61"/>
      <c r="W19" s="38"/>
      <c r="X19" s="36" t="str">
        <f t="shared" ref="X19" si="10">$E19</f>
        <v>ENABLE 2005</v>
      </c>
      <c r="Y19" s="62">
        <v>0.3</v>
      </c>
      <c r="Z19" s="62">
        <v>0.45</v>
      </c>
      <c r="AA19" s="62">
        <v>0.3</v>
      </c>
      <c r="AB19" s="62"/>
      <c r="AC19" s="62"/>
      <c r="AD19" s="62"/>
      <c r="AE19" s="62"/>
      <c r="AF19" s="62"/>
      <c r="AG19" s="62"/>
      <c r="AH19" s="62"/>
      <c r="AI19" s="62"/>
      <c r="AJ19" s="36">
        <f>SUMPRODUCT(Y19:AI19,Y20:AI20)</f>
        <v>0.375</v>
      </c>
      <c r="AK19" s="37">
        <f t="shared" si="1"/>
        <v>0.40760869565217389</v>
      </c>
      <c r="AL19" s="39"/>
      <c r="AM19" s="36" t="str">
        <f>E6</f>
        <v>ENABLE 2005</v>
      </c>
      <c r="AN19" s="36">
        <f t="shared" si="3"/>
        <v>0.3</v>
      </c>
      <c r="AO19" s="36">
        <f t="shared" si="3"/>
        <v>0.45</v>
      </c>
      <c r="AP19" s="36">
        <f t="shared" si="3"/>
        <v>0.3</v>
      </c>
      <c r="AQ19" s="36">
        <f t="shared" si="3"/>
        <v>0</v>
      </c>
      <c r="AR19" s="36">
        <f t="shared" si="0"/>
        <v>0</v>
      </c>
      <c r="AS19" s="36">
        <f t="shared" si="0"/>
        <v>0</v>
      </c>
      <c r="AT19" s="36">
        <f t="shared" si="0"/>
        <v>0</v>
      </c>
      <c r="AU19" s="36">
        <f t="shared" si="0"/>
        <v>0</v>
      </c>
      <c r="AV19" s="36">
        <f t="shared" si="0"/>
        <v>0</v>
      </c>
      <c r="AW19" s="36">
        <f t="shared" si="0"/>
        <v>0</v>
      </c>
      <c r="AX19" s="36">
        <f t="shared" si="0"/>
        <v>0</v>
      </c>
      <c r="AY19" s="36">
        <f>SUMPRODUCT(AN19:AX19,AN20:AX20)</f>
        <v>0.375</v>
      </c>
      <c r="AZ19" s="37">
        <f t="shared" si="4"/>
        <v>0.40760869565217389</v>
      </c>
      <c r="BA19" s="4" t="s">
        <v>6</v>
      </c>
      <c r="BB19" s="4" t="s">
        <v>31</v>
      </c>
      <c r="BC19" s="4">
        <v>11</v>
      </c>
      <c r="BD19" s="5" t="s">
        <v>23</v>
      </c>
      <c r="BE19" s="4">
        <f>(0.000001)^2*2.2046*1000</f>
        <v>2.2046E-9</v>
      </c>
      <c r="BF19" s="5" t="s">
        <v>87</v>
      </c>
      <c r="BG19" s="5" t="s">
        <v>24</v>
      </c>
      <c r="BH19" s="4">
        <f t="shared" si="5"/>
        <v>1E-3</v>
      </c>
      <c r="BI19" s="5">
        <f t="shared" si="6"/>
        <v>2.2046000000000001E-12</v>
      </c>
      <c r="BJ19" s="318"/>
    </row>
    <row r="20" spans="1:62" ht="13.5" x14ac:dyDescent="0.25">
      <c r="A20" s="318"/>
      <c r="B20" s="11"/>
      <c r="C20" s="11"/>
      <c r="D20" s="11"/>
      <c r="E20" s="11"/>
      <c r="F20" s="11"/>
      <c r="G20" s="11"/>
      <c r="H20" s="11"/>
      <c r="I20" s="63"/>
      <c r="J20" s="64">
        <f>J8/SUM(J8:T8)</f>
        <v>0.25</v>
      </c>
      <c r="K20" s="64">
        <f>K8/SUM(J8:T8)</f>
        <v>0.5</v>
      </c>
      <c r="L20" s="64">
        <f>L8/SUM(J8:T8)</f>
        <v>0.25</v>
      </c>
      <c r="M20" s="64">
        <f>M8/SUM(J8:T8)</f>
        <v>0</v>
      </c>
      <c r="N20" s="64">
        <f>N8/SUM(J8:T8)</f>
        <v>0</v>
      </c>
      <c r="O20" s="64">
        <f>O8/SUM(J8:T8)</f>
        <v>0</v>
      </c>
      <c r="P20" s="64">
        <f>P8/SUM(J8:T8)</f>
        <v>0</v>
      </c>
      <c r="Q20" s="64">
        <f>Q8/SUM(J8:T8)</f>
        <v>0</v>
      </c>
      <c r="R20" s="64">
        <f>R8/SUM(J8:T8)</f>
        <v>0</v>
      </c>
      <c r="S20" s="64">
        <f>S8/SUM(J8:T8)</f>
        <v>0</v>
      </c>
      <c r="T20" s="64">
        <f>T8/SUM(J8:T8)</f>
        <v>0</v>
      </c>
      <c r="U20" s="65">
        <f>IF(SUM(U9:U19)&lt;&gt;100%,"&lt;&gt; 100% !!",SUM(U9:U19))</f>
        <v>1</v>
      </c>
      <c r="V20" s="66"/>
      <c r="W20" s="38"/>
      <c r="X20" s="63"/>
      <c r="Y20" s="64">
        <f>Y8/SUM(Y8:AI8)</f>
        <v>0.25</v>
      </c>
      <c r="Z20" s="64">
        <f>Z8/SUM(Y8:AI8)</f>
        <v>0.5</v>
      </c>
      <c r="AA20" s="64">
        <f>AA8/SUM(Y8:AI8)</f>
        <v>0.25</v>
      </c>
      <c r="AB20" s="64">
        <f>AB8/SUM(Y8:AI8)</f>
        <v>0</v>
      </c>
      <c r="AC20" s="64">
        <f>AC8/SUM(Y8:AI8)</f>
        <v>0</v>
      </c>
      <c r="AD20" s="64">
        <f>AD8/SUM(Y8:AI8)</f>
        <v>0</v>
      </c>
      <c r="AE20" s="64">
        <f>AE8/SUM(Y8:AI8)</f>
        <v>0</v>
      </c>
      <c r="AF20" s="64">
        <f>AF8/SUM(Y8:AI8)</f>
        <v>0</v>
      </c>
      <c r="AG20" s="64">
        <f>AG8/SUM(Y8:AI8)</f>
        <v>0</v>
      </c>
      <c r="AH20" s="64">
        <f>AH8/SUM(Y8:AI8)</f>
        <v>0</v>
      </c>
      <c r="AI20" s="64">
        <f>AI8/SUM(Y8:AI8)</f>
        <v>0</v>
      </c>
      <c r="AJ20" s="65">
        <f>IF(SUM(AJ9:AJ19)&lt;&gt;100%,"&lt;&gt; 100% !!",SUM(AJ9:AJ19))</f>
        <v>1</v>
      </c>
      <c r="AK20" s="66"/>
      <c r="AL20" s="66"/>
      <c r="AM20" s="63"/>
      <c r="AN20" s="65">
        <f>AN8/SUM(AN8:AX8)</f>
        <v>0.25</v>
      </c>
      <c r="AO20" s="65">
        <f>AO8/SUM(AN8:AX8)</f>
        <v>0.5</v>
      </c>
      <c r="AP20" s="65">
        <f>AP8/SUM(AN8:AX8)</f>
        <v>0.25</v>
      </c>
      <c r="AQ20" s="65">
        <f>AQ8/SUM($AN8:$AX8)</f>
        <v>0</v>
      </c>
      <c r="AR20" s="65">
        <f t="shared" ref="AR20:AX20" si="11">AR8/SUM($AN8:$AX8)</f>
        <v>0</v>
      </c>
      <c r="AS20" s="65">
        <f t="shared" si="11"/>
        <v>0</v>
      </c>
      <c r="AT20" s="65">
        <f t="shared" si="11"/>
        <v>0</v>
      </c>
      <c r="AU20" s="65">
        <f t="shared" si="11"/>
        <v>0</v>
      </c>
      <c r="AV20" s="65">
        <f t="shared" si="11"/>
        <v>0</v>
      </c>
      <c r="AW20" s="65">
        <f t="shared" si="11"/>
        <v>0</v>
      </c>
      <c r="AX20" s="65">
        <f t="shared" si="11"/>
        <v>0</v>
      </c>
      <c r="AY20" s="67">
        <f>IF(SUM(AY9:AY19)&lt;&gt;100%,"&lt;&gt; 100% !!",SUM(AY9:AY19))</f>
        <v>1</v>
      </c>
      <c r="AZ20" s="24"/>
      <c r="BA20" s="4" t="s">
        <v>6</v>
      </c>
      <c r="BB20" s="4" t="s">
        <v>32</v>
      </c>
      <c r="BC20" s="4">
        <v>12</v>
      </c>
      <c r="BD20" s="5" t="s">
        <v>26</v>
      </c>
      <c r="BE20" s="4">
        <f>0.000001*2.2046*1000</f>
        <v>2.2046000000000001E-3</v>
      </c>
      <c r="BF20" s="5" t="s">
        <v>86</v>
      </c>
      <c r="BG20" s="5" t="s">
        <v>27</v>
      </c>
      <c r="BH20" s="4">
        <f t="shared" si="5"/>
        <v>1E-3</v>
      </c>
      <c r="BI20" s="5">
        <f t="shared" si="6"/>
        <v>2.2046E-6</v>
      </c>
      <c r="BJ20" s="318"/>
    </row>
    <row r="21" spans="1:62" ht="3" customHeight="1" x14ac:dyDescent="0.25">
      <c r="A21" s="318"/>
      <c r="B21" s="11"/>
      <c r="C21" s="11"/>
      <c r="D21" s="11"/>
      <c r="E21" s="11"/>
      <c r="F21" s="11"/>
      <c r="G21" s="11"/>
      <c r="H21" s="11"/>
      <c r="I21" s="52"/>
      <c r="J21" s="52"/>
      <c r="K21" s="52"/>
      <c r="L21" s="52"/>
      <c r="M21" s="52"/>
      <c r="N21" s="52"/>
      <c r="O21" s="52"/>
      <c r="P21" s="52"/>
      <c r="Q21" s="52"/>
      <c r="R21" s="52"/>
      <c r="S21" s="52"/>
      <c r="T21" s="52"/>
      <c r="U21" s="68"/>
      <c r="V21" s="66"/>
      <c r="W21" s="38"/>
      <c r="X21" s="52"/>
      <c r="Y21" s="52"/>
      <c r="Z21" s="52"/>
      <c r="AA21" s="52"/>
      <c r="AB21" s="52"/>
      <c r="AC21" s="52"/>
      <c r="AD21" s="52"/>
      <c r="AE21" s="52"/>
      <c r="AF21" s="52"/>
      <c r="AG21" s="52"/>
      <c r="AH21" s="52"/>
      <c r="AI21" s="52"/>
      <c r="AJ21" s="68"/>
      <c r="AK21" s="66"/>
      <c r="AL21" s="66"/>
      <c r="AM21" s="28"/>
      <c r="AN21" s="28"/>
      <c r="AO21" s="28"/>
      <c r="AP21" s="28"/>
      <c r="AQ21" s="28"/>
      <c r="AR21" s="28"/>
      <c r="AS21" s="28"/>
      <c r="AT21" s="28"/>
      <c r="AU21" s="28"/>
      <c r="AV21" s="28"/>
      <c r="AW21" s="28"/>
      <c r="AX21" s="28"/>
      <c r="AY21" s="66"/>
      <c r="AZ21" s="24"/>
      <c r="BA21" s="4" t="s">
        <v>33</v>
      </c>
      <c r="BB21" s="4" t="s">
        <v>7</v>
      </c>
      <c r="BC21" s="4">
        <v>13</v>
      </c>
      <c r="BD21" s="5" t="s">
        <v>8</v>
      </c>
      <c r="BE21" s="5"/>
      <c r="BF21" s="5" t="s">
        <v>8</v>
      </c>
      <c r="BG21" s="5" t="s">
        <v>8</v>
      </c>
      <c r="BH21" s="4">
        <f t="shared" si="5"/>
        <v>1E-3</v>
      </c>
      <c r="BI21" s="5">
        <f t="shared" si="6"/>
        <v>0</v>
      </c>
      <c r="BJ21" s="318"/>
    </row>
    <row r="22" spans="1:62" ht="13.5" x14ac:dyDescent="0.25">
      <c r="A22" s="318"/>
      <c r="B22" s="69" t="str">
        <f>IF(COUNT(B23:F26)&gt;1,"!! MORE THAN 1 UNIT SELECTED !!",IF(COUNT(B23:F26)=0,"!! NO UNIT SELECTED !!","THICKNESS, SECTION or VOLUME UNIT"))</f>
        <v>THICKNESS, SECTION or VOLUME UNIT</v>
      </c>
      <c r="C22" s="69"/>
      <c r="D22" s="69"/>
      <c r="E22" s="69"/>
      <c r="F22" s="69"/>
      <c r="G22" s="69"/>
      <c r="H22" s="11"/>
      <c r="I22" s="5" t="str">
        <f>CONCATENATE(I5," CONVERTER BUSINESS SIZE")</f>
        <v>REFERENCE CONVERTER BUSINESS SIZE</v>
      </c>
      <c r="J22" s="70"/>
      <c r="K22" s="70"/>
      <c r="L22" s="70"/>
      <c r="M22" s="71">
        <v>1</v>
      </c>
      <c r="N22" s="6" t="str">
        <f>VLOOKUP(1,J28:L30,2)</f>
        <v>KT</v>
      </c>
      <c r="O22" s="52"/>
      <c r="P22" s="52"/>
      <c r="Q22" s="52"/>
      <c r="R22" s="52"/>
      <c r="S22" s="52"/>
      <c r="T22" s="52"/>
      <c r="U22" s="68"/>
      <c r="V22" s="28"/>
      <c r="W22" s="23"/>
      <c r="X22" s="215" t="s">
        <v>58</v>
      </c>
      <c r="Y22" s="72"/>
      <c r="Z22" s="72"/>
      <c r="AA22" s="72"/>
      <c r="AB22" s="73">
        <v>1</v>
      </c>
      <c r="AC22" s="6"/>
      <c r="AD22" s="52"/>
      <c r="AE22" s="52"/>
      <c r="AF22" s="52"/>
      <c r="AG22" s="52"/>
      <c r="AH22" s="52"/>
      <c r="AI22" s="52"/>
      <c r="AJ22" s="68"/>
      <c r="AK22" s="7"/>
      <c r="AL22" s="7"/>
      <c r="AM22" s="74"/>
      <c r="AN22" s="75"/>
      <c r="AO22" s="75"/>
      <c r="AP22" s="75"/>
      <c r="AQ22" s="75"/>
      <c r="AR22" s="75"/>
      <c r="AS22" s="75"/>
      <c r="AT22" s="75"/>
      <c r="AU22" s="75"/>
      <c r="AV22" s="75"/>
      <c r="AW22" s="75"/>
      <c r="AX22" s="24"/>
      <c r="AY22" s="7"/>
      <c r="AZ22" s="24"/>
      <c r="BA22" s="4" t="s">
        <v>33</v>
      </c>
      <c r="BB22" s="4" t="s">
        <v>10</v>
      </c>
      <c r="BC22" s="4">
        <v>14</v>
      </c>
      <c r="BD22" s="5" t="s">
        <v>34</v>
      </c>
      <c r="BE22" s="4">
        <f>(25.4*0.001)^2*(0.3048)*1000</f>
        <v>0.19664476800000003</v>
      </c>
      <c r="BF22" s="5" t="s">
        <v>85</v>
      </c>
      <c r="BG22" s="5" t="s">
        <v>12</v>
      </c>
      <c r="BH22" s="4">
        <f t="shared" si="5"/>
        <v>1E-3</v>
      </c>
      <c r="BI22" s="5">
        <f t="shared" si="6"/>
        <v>1.9664476800000002E-4</v>
      </c>
      <c r="BJ22" s="318"/>
    </row>
    <row r="23" spans="1:62" ht="13.5" x14ac:dyDescent="0.25">
      <c r="A23" s="318"/>
      <c r="B23" s="30">
        <v>1</v>
      </c>
      <c r="C23" s="4" t="s">
        <v>37</v>
      </c>
      <c r="D23" s="30"/>
      <c r="E23" s="4" t="s">
        <v>38</v>
      </c>
      <c r="F23" s="76"/>
      <c r="G23" s="4" t="s">
        <v>39</v>
      </c>
      <c r="H23" s="11"/>
      <c r="I23" s="5"/>
      <c r="J23" s="6"/>
      <c r="K23" s="6"/>
      <c r="L23" s="6"/>
      <c r="M23" s="6"/>
      <c r="N23" s="6"/>
      <c r="O23" s="52"/>
      <c r="P23" s="52"/>
      <c r="Q23" s="52"/>
      <c r="R23" s="52"/>
      <c r="S23" s="52"/>
      <c r="T23" s="52"/>
      <c r="U23" s="68"/>
      <c r="V23" s="24"/>
      <c r="W23" s="23"/>
      <c r="X23" s="215" t="str">
        <f>CONCATENATE(X5," BUSINESS SIZE")</f>
        <v>ALTERNATIVE BUSINESS SIZE</v>
      </c>
      <c r="Y23" s="77"/>
      <c r="Z23" s="77"/>
      <c r="AA23" s="77"/>
      <c r="AB23" s="78">
        <f>ROUND(M22*AB22,2)</f>
        <v>1</v>
      </c>
      <c r="AC23" s="79" t="str">
        <f>VLOOKUP(1,J28:L30,2)</f>
        <v>KT</v>
      </c>
      <c r="AD23" s="52"/>
      <c r="AE23" s="52"/>
      <c r="AF23" s="52"/>
      <c r="AG23" s="52"/>
      <c r="AH23" s="52"/>
      <c r="AI23" s="52"/>
      <c r="AJ23" s="68"/>
      <c r="AK23" s="7"/>
      <c r="AL23" s="7"/>
      <c r="AM23" s="80"/>
      <c r="AN23" s="301"/>
      <c r="AO23" s="301"/>
      <c r="AP23" s="301"/>
      <c r="AQ23" s="301"/>
      <c r="AR23" s="301"/>
      <c r="AS23" s="301"/>
      <c r="AT23" s="301"/>
      <c r="AU23" s="301"/>
      <c r="AV23" s="301"/>
      <c r="AW23" s="301"/>
      <c r="AX23" s="81"/>
      <c r="AY23" s="82"/>
      <c r="AZ23" s="24"/>
      <c r="BA23" s="4" t="s">
        <v>33</v>
      </c>
      <c r="BB23" s="4" t="s">
        <v>13</v>
      </c>
      <c r="BC23" s="4">
        <v>15</v>
      </c>
      <c r="BD23" s="5" t="s">
        <v>35</v>
      </c>
      <c r="BE23" s="4">
        <f>(25.4*0.001)*(0.3048)^2*1000</f>
        <v>2.3597372160000001</v>
      </c>
      <c r="BF23" s="5" t="s">
        <v>84</v>
      </c>
      <c r="BG23" s="5" t="s">
        <v>15</v>
      </c>
      <c r="BH23" s="4">
        <f t="shared" si="5"/>
        <v>1E-3</v>
      </c>
      <c r="BI23" s="5">
        <f t="shared" si="6"/>
        <v>2.3597372160000002E-3</v>
      </c>
      <c r="BJ23" s="318"/>
    </row>
    <row r="24" spans="1:62" ht="13.5" x14ac:dyDescent="0.25">
      <c r="A24" s="318"/>
      <c r="B24" s="41"/>
      <c r="C24" s="4" t="s">
        <v>40</v>
      </c>
      <c r="D24" s="41"/>
      <c r="E24" s="4" t="s">
        <v>41</v>
      </c>
      <c r="F24" s="4"/>
      <c r="G24" s="4"/>
      <c r="H24" s="11"/>
      <c r="I24" s="5" t="str">
        <f>CONCATENATE(I5," CONVERTER SALES PRICE")</f>
        <v>REFERENCE CONVERTER SALES PRICE</v>
      </c>
      <c r="J24" s="70"/>
      <c r="K24" s="70"/>
      <c r="L24" s="70"/>
      <c r="M24" s="58">
        <v>1586.325</v>
      </c>
      <c r="N24" s="6" t="str">
        <f>N27</f>
        <v>$/TON</v>
      </c>
      <c r="O24" s="52"/>
      <c r="P24" s="52"/>
      <c r="Q24" s="52"/>
      <c r="R24" s="52"/>
      <c r="S24" s="52"/>
      <c r="T24" s="52"/>
      <c r="U24" s="68"/>
      <c r="V24" s="7"/>
      <c r="W24" s="11"/>
      <c r="X24" s="5" t="s">
        <v>67</v>
      </c>
      <c r="Y24" s="72"/>
      <c r="Z24" s="72"/>
      <c r="AA24" s="72"/>
      <c r="AB24" s="71">
        <v>1725</v>
      </c>
      <c r="AC24" s="6" t="str">
        <f>N27</f>
        <v>$/TON</v>
      </c>
      <c r="AD24" s="52"/>
      <c r="AE24" s="52"/>
      <c r="AF24" s="52"/>
      <c r="AG24" s="52"/>
      <c r="AH24" s="52"/>
      <c r="AI24" s="52"/>
      <c r="AJ24" s="68"/>
      <c r="AK24" s="28"/>
      <c r="AL24" s="28"/>
      <c r="AM24" s="15"/>
      <c r="AN24" s="75"/>
      <c r="AO24" s="75"/>
      <c r="AP24" s="75"/>
      <c r="AQ24" s="75"/>
      <c r="AR24" s="75"/>
      <c r="AS24" s="75"/>
      <c r="AT24" s="75"/>
      <c r="AU24" s="75"/>
      <c r="AV24" s="75"/>
      <c r="AW24" s="75"/>
      <c r="AX24" s="81"/>
      <c r="AY24" s="7"/>
      <c r="AZ24" s="24"/>
      <c r="BA24" s="4" t="s">
        <v>33</v>
      </c>
      <c r="BB24" s="4" t="s">
        <v>16</v>
      </c>
      <c r="BC24" s="4">
        <v>16</v>
      </c>
      <c r="BD24" s="5" t="s">
        <v>36</v>
      </c>
      <c r="BE24" s="4">
        <v>3.7854000000000001</v>
      </c>
      <c r="BF24" s="5" t="s">
        <v>94</v>
      </c>
      <c r="BG24" s="5" t="s">
        <v>16</v>
      </c>
      <c r="BH24" s="4">
        <f t="shared" si="5"/>
        <v>1E-3</v>
      </c>
      <c r="BI24" s="5">
        <f t="shared" si="6"/>
        <v>3.7854E-3</v>
      </c>
      <c r="BJ24" s="318"/>
    </row>
    <row r="25" spans="1:62" ht="13.5" x14ac:dyDescent="0.25">
      <c r="A25" s="318"/>
      <c r="B25" s="30"/>
      <c r="C25" s="4" t="s">
        <v>21</v>
      </c>
      <c r="D25" s="30"/>
      <c r="E25" s="4" t="s">
        <v>20</v>
      </c>
      <c r="F25" s="76"/>
      <c r="G25" s="4" t="s">
        <v>43</v>
      </c>
      <c r="H25" s="11"/>
      <c r="I25" s="5" t="s">
        <v>91</v>
      </c>
      <c r="J25" s="70"/>
      <c r="K25" s="70"/>
      <c r="L25" s="70"/>
      <c r="M25" s="36">
        <f>M24/Z44</f>
        <v>1.3</v>
      </c>
      <c r="N25" s="6"/>
      <c r="O25" s="52"/>
      <c r="P25" s="52"/>
      <c r="Q25" s="52"/>
      <c r="R25" s="52"/>
      <c r="S25" s="52"/>
      <c r="T25" s="52"/>
      <c r="U25" s="68"/>
      <c r="V25" s="84"/>
      <c r="W25" s="51"/>
      <c r="X25" s="5" t="s">
        <v>91</v>
      </c>
      <c r="Y25" s="70"/>
      <c r="Z25" s="70"/>
      <c r="AA25" s="70"/>
      <c r="AB25" s="36">
        <f>AB24/AB44</f>
        <v>1.3596059113300492</v>
      </c>
      <c r="AC25" s="6"/>
      <c r="AD25" s="52"/>
      <c r="AE25" s="52"/>
      <c r="AF25" s="52"/>
      <c r="AG25" s="52"/>
      <c r="AH25" s="52"/>
      <c r="AI25" s="52"/>
      <c r="AJ25" s="68"/>
      <c r="AK25" s="7"/>
      <c r="AL25" s="7"/>
      <c r="AM25" s="84"/>
      <c r="AN25" s="7"/>
      <c r="AO25" s="7"/>
      <c r="AP25" s="7"/>
      <c r="AQ25" s="7"/>
      <c r="AR25" s="7"/>
      <c r="AS25" s="7"/>
      <c r="AT25" s="7"/>
      <c r="AU25" s="7"/>
      <c r="AV25" s="7"/>
      <c r="AW25" s="7"/>
      <c r="AX25" s="24"/>
      <c r="AY25" s="7"/>
      <c r="AZ25" s="7"/>
      <c r="BA25" s="4" t="s">
        <v>33</v>
      </c>
      <c r="BB25" s="4" t="s">
        <v>20</v>
      </c>
      <c r="BC25" s="4">
        <v>17</v>
      </c>
      <c r="BD25" s="5" t="s">
        <v>34</v>
      </c>
      <c r="BE25" s="4">
        <f>(25.4*0.000001)^2*(0.3048)*1000</f>
        <v>1.9664476799999998E-7</v>
      </c>
      <c r="BF25" s="5" t="s">
        <v>85</v>
      </c>
      <c r="BG25" s="5" t="s">
        <v>12</v>
      </c>
      <c r="BH25" s="4">
        <f t="shared" si="5"/>
        <v>1E-3</v>
      </c>
      <c r="BI25" s="5">
        <f t="shared" si="6"/>
        <v>1.9664476799999999E-10</v>
      </c>
      <c r="BJ25" s="318"/>
    </row>
    <row r="26" spans="1:62" ht="13.5" x14ac:dyDescent="0.25">
      <c r="A26" s="318"/>
      <c r="B26" s="47"/>
      <c r="C26" s="4" t="s">
        <v>45</v>
      </c>
      <c r="D26" s="47"/>
      <c r="E26" s="4" t="s">
        <v>46</v>
      </c>
      <c r="F26" s="4"/>
      <c r="G26" s="4"/>
      <c r="H26" s="11"/>
      <c r="I26" s="5" t="s">
        <v>54</v>
      </c>
      <c r="J26" s="70"/>
      <c r="K26" s="70"/>
      <c r="L26" s="70"/>
      <c r="M26" s="85">
        <v>31</v>
      </c>
      <c r="N26" s="6" t="s">
        <v>53</v>
      </c>
      <c r="O26" s="52"/>
      <c r="P26" s="52"/>
      <c r="Q26" s="52"/>
      <c r="R26" s="52"/>
      <c r="S26" s="52"/>
      <c r="T26" s="52"/>
      <c r="U26" s="68"/>
      <c r="V26" s="7"/>
      <c r="W26" s="11"/>
      <c r="X26" s="5" t="str">
        <f>CONCATENATE(BC6,"  REDUCTION vs. ",I5)</f>
        <v>THICKNESS  REDUCTION vs. REFERENCE</v>
      </c>
      <c r="Y26" s="70"/>
      <c r="Z26" s="70"/>
      <c r="AA26" s="70"/>
      <c r="AB26" s="36">
        <f>($U6-AJ6)/$U6</f>
        <v>0.13333333333333333</v>
      </c>
      <c r="AC26" s="6"/>
      <c r="AD26" s="52"/>
      <c r="AE26" s="52"/>
      <c r="AF26" s="52"/>
      <c r="AG26" s="52"/>
      <c r="AH26" s="52"/>
      <c r="AI26" s="52"/>
      <c r="AJ26" s="68"/>
      <c r="AK26" s="84"/>
      <c r="AL26" s="84"/>
      <c r="AM26" s="15"/>
      <c r="AN26" s="86"/>
      <c r="AO26" s="86"/>
      <c r="AP26" s="86"/>
      <c r="AQ26" s="86"/>
      <c r="AR26" s="86"/>
      <c r="AS26" s="86"/>
      <c r="AT26" s="86"/>
      <c r="AU26" s="86"/>
      <c r="AV26" s="86"/>
      <c r="AW26" s="86"/>
      <c r="AX26" s="24"/>
      <c r="AY26" s="7"/>
      <c r="AZ26" s="7"/>
      <c r="BA26" s="4" t="s">
        <v>33</v>
      </c>
      <c r="BB26" s="4" t="s">
        <v>21</v>
      </c>
      <c r="BC26" s="4">
        <v>18</v>
      </c>
      <c r="BD26" s="5" t="s">
        <v>35</v>
      </c>
      <c r="BE26" s="190">
        <f>(25.4*0.000001)*(0.3048)^2*1000</f>
        <v>2.3597372159999998E-3</v>
      </c>
      <c r="BF26" s="5" t="s">
        <v>84</v>
      </c>
      <c r="BG26" s="5" t="s">
        <v>15</v>
      </c>
      <c r="BH26" s="4">
        <f t="shared" si="5"/>
        <v>1E-3</v>
      </c>
      <c r="BI26" s="5">
        <f t="shared" si="6"/>
        <v>2.3597372159999999E-6</v>
      </c>
      <c r="BJ26" s="318"/>
    </row>
    <row r="27" spans="1:62" ht="13.5" x14ac:dyDescent="0.25">
      <c r="A27" s="318"/>
      <c r="B27" s="11"/>
      <c r="C27" s="11"/>
      <c r="D27" s="11"/>
      <c r="E27" s="11"/>
      <c r="F27" s="11"/>
      <c r="G27" s="11"/>
      <c r="H27" s="11"/>
      <c r="I27" s="5" t="str">
        <f>CONCATENATE(I5," LOGISTICS COSTS")</f>
        <v>REFERENCE LOGISTICS COSTS</v>
      </c>
      <c r="J27" s="70"/>
      <c r="K27" s="70"/>
      <c r="L27" s="70"/>
      <c r="M27" s="54">
        <v>50</v>
      </c>
      <c r="N27" s="6" t="str">
        <f>F8</f>
        <v>$/TON</v>
      </c>
      <c r="O27" s="52"/>
      <c r="P27" s="52"/>
      <c r="Q27" s="52"/>
      <c r="R27" s="52"/>
      <c r="S27" s="52"/>
      <c r="T27" s="52"/>
      <c r="U27" s="68"/>
      <c r="V27" s="7"/>
      <c r="W27" s="11"/>
      <c r="X27" s="5" t="str">
        <f>CONCATENATE("PERFORMANCE vs. ",I5)</f>
        <v>PERFORMANCE vs. REFERENCE</v>
      </c>
      <c r="Y27" s="70"/>
      <c r="Z27" s="70"/>
      <c r="AA27" s="70"/>
      <c r="AB27" s="73">
        <v>1</v>
      </c>
      <c r="AC27" s="6"/>
      <c r="AD27" s="52"/>
      <c r="AE27" s="52"/>
      <c r="AF27" s="52"/>
      <c r="AG27" s="52"/>
      <c r="AH27" s="52"/>
      <c r="AI27" s="52"/>
      <c r="AJ27" s="68"/>
      <c r="AK27" s="7"/>
      <c r="AL27" s="7"/>
      <c r="AM27" s="300"/>
      <c r="AN27" s="300"/>
      <c r="AO27" s="300"/>
      <c r="AP27" s="300"/>
      <c r="AQ27" s="300"/>
      <c r="AR27" s="300"/>
      <c r="AS27" s="300"/>
      <c r="AT27" s="300"/>
      <c r="AU27" s="300"/>
      <c r="AV27" s="300"/>
      <c r="AW27" s="300"/>
      <c r="AX27" s="300"/>
      <c r="AY27" s="300"/>
      <c r="AZ27" s="7"/>
      <c r="BA27" s="4" t="s">
        <v>33</v>
      </c>
      <c r="BB27" s="4" t="s">
        <v>7</v>
      </c>
      <c r="BC27" s="4">
        <v>19</v>
      </c>
      <c r="BD27" s="4" t="s">
        <v>8</v>
      </c>
      <c r="BE27" s="5"/>
      <c r="BF27" s="4" t="s">
        <v>8</v>
      </c>
      <c r="BG27" s="4" t="s">
        <v>8</v>
      </c>
      <c r="BH27" s="4">
        <f t="shared" si="5"/>
        <v>1E-3</v>
      </c>
      <c r="BI27" s="5">
        <f t="shared" si="6"/>
        <v>0</v>
      </c>
      <c r="BJ27" s="318"/>
    </row>
    <row r="28" spans="1:62" ht="13.5" hidden="1" x14ac:dyDescent="0.25">
      <c r="A28" s="318"/>
      <c r="B28" s="7"/>
      <c r="C28" s="7"/>
      <c r="D28" s="7"/>
      <c r="E28" s="7"/>
      <c r="F28" s="7"/>
      <c r="G28" s="7"/>
      <c r="H28" s="7"/>
      <c r="I28" s="87"/>
      <c r="J28" s="88" t="str">
        <f>IF(B9="","",B9)</f>
        <v/>
      </c>
      <c r="K28" s="88" t="s">
        <v>51</v>
      </c>
      <c r="L28" s="88">
        <v>1</v>
      </c>
      <c r="M28" s="88" t="str">
        <f>CONCATENATE("M",B6)</f>
        <v>M$</v>
      </c>
      <c r="N28" s="88"/>
      <c r="O28" s="52"/>
      <c r="P28" s="52"/>
      <c r="Q28" s="52"/>
      <c r="R28" s="52"/>
      <c r="S28" s="52"/>
      <c r="T28" s="52"/>
      <c r="U28" s="68"/>
      <c r="V28" s="84"/>
      <c r="W28" s="84"/>
      <c r="X28" s="24"/>
      <c r="Y28" s="24"/>
      <c r="Z28" s="24"/>
      <c r="AA28" s="24"/>
      <c r="AB28" s="24"/>
      <c r="AC28" s="24"/>
      <c r="AD28" s="52"/>
      <c r="AE28" s="52"/>
      <c r="AF28" s="52"/>
      <c r="AG28" s="52"/>
      <c r="AH28" s="52"/>
      <c r="AI28" s="52"/>
      <c r="AJ28" s="68"/>
      <c r="AK28" s="24"/>
      <c r="AL28" s="24"/>
      <c r="AM28" s="7"/>
      <c r="AN28" s="7"/>
      <c r="AO28" s="7"/>
      <c r="AP28" s="7"/>
      <c r="AQ28" s="7"/>
      <c r="AR28" s="7"/>
      <c r="AS28" s="7"/>
      <c r="AT28" s="7"/>
      <c r="AU28" s="7"/>
      <c r="AV28" s="7"/>
      <c r="AW28" s="7"/>
      <c r="AX28" s="7"/>
      <c r="AY28" s="7"/>
      <c r="AZ28" s="7"/>
      <c r="BA28" s="4" t="s">
        <v>33</v>
      </c>
      <c r="BB28" s="4" t="s">
        <v>22</v>
      </c>
      <c r="BC28" s="4">
        <v>20</v>
      </c>
      <c r="BD28" s="5" t="s">
        <v>42</v>
      </c>
      <c r="BE28" s="189">
        <f>(0.001)^2*1000</f>
        <v>1E-3</v>
      </c>
      <c r="BF28" s="5" t="s">
        <v>90</v>
      </c>
      <c r="BG28" s="5" t="s">
        <v>24</v>
      </c>
      <c r="BH28" s="4">
        <f t="shared" si="5"/>
        <v>1E-3</v>
      </c>
      <c r="BI28" s="5">
        <f t="shared" si="6"/>
        <v>9.9999999999999995E-7</v>
      </c>
      <c r="BJ28" s="318"/>
    </row>
    <row r="29" spans="1:62" ht="13.5" hidden="1" x14ac:dyDescent="0.25">
      <c r="A29" s="318"/>
      <c r="B29" s="7"/>
      <c r="C29" s="7"/>
      <c r="D29" s="7"/>
      <c r="E29" s="7"/>
      <c r="F29" s="7"/>
      <c r="G29" s="7"/>
      <c r="H29" s="7"/>
      <c r="I29" s="87"/>
      <c r="J29" s="88">
        <f>IF(B10="","",B10)</f>
        <v>1</v>
      </c>
      <c r="K29" s="88" t="s">
        <v>51</v>
      </c>
      <c r="L29" s="88">
        <v>1000</v>
      </c>
      <c r="M29" s="88" t="str">
        <f>CONCATENATE("M",B6)</f>
        <v>M$</v>
      </c>
      <c r="N29" s="88"/>
      <c r="O29" s="52"/>
      <c r="P29" s="52"/>
      <c r="Q29" s="52"/>
      <c r="R29" s="52"/>
      <c r="S29" s="52"/>
      <c r="T29" s="52"/>
      <c r="U29" s="68"/>
      <c r="V29" s="7"/>
      <c r="W29" s="7"/>
      <c r="X29" s="89"/>
      <c r="Y29" s="89"/>
      <c r="Z29" s="89"/>
      <c r="AA29" s="89"/>
      <c r="AB29" s="89"/>
      <c r="AC29" s="89"/>
      <c r="AD29" s="52"/>
      <c r="AE29" s="52"/>
      <c r="AF29" s="52"/>
      <c r="AG29" s="52"/>
      <c r="AH29" s="52"/>
      <c r="AI29" s="52"/>
      <c r="AJ29" s="68"/>
      <c r="AK29" s="7"/>
      <c r="AL29" s="7"/>
      <c r="AM29" s="86"/>
      <c r="AN29" s="86"/>
      <c r="AO29" s="86"/>
      <c r="AP29" s="86"/>
      <c r="AQ29" s="86"/>
      <c r="AR29" s="86"/>
      <c r="AS29" s="86"/>
      <c r="AT29" s="86"/>
      <c r="AU29" s="86"/>
      <c r="AV29" s="86"/>
      <c r="AW29" s="86"/>
      <c r="AX29" s="86"/>
      <c r="AY29" s="24"/>
      <c r="AZ29" s="7"/>
      <c r="BA29" s="4" t="s">
        <v>33</v>
      </c>
      <c r="BB29" s="4" t="s">
        <v>25</v>
      </c>
      <c r="BC29" s="4">
        <v>21</v>
      </c>
      <c r="BD29" s="5" t="s">
        <v>44</v>
      </c>
      <c r="BE29" s="189">
        <f>(0.001)*1000</f>
        <v>1</v>
      </c>
      <c r="BF29" s="5" t="s">
        <v>83</v>
      </c>
      <c r="BG29" s="5" t="s">
        <v>27</v>
      </c>
      <c r="BH29" s="4">
        <f t="shared" si="5"/>
        <v>1E-3</v>
      </c>
      <c r="BI29" s="5">
        <f t="shared" si="6"/>
        <v>1E-3</v>
      </c>
      <c r="BJ29" s="318"/>
    </row>
    <row r="30" spans="1:62" ht="13.5" hidden="1" x14ac:dyDescent="0.25">
      <c r="A30" s="318"/>
      <c r="B30" s="7"/>
      <c r="C30" s="7"/>
      <c r="D30" s="7"/>
      <c r="E30" s="7"/>
      <c r="F30" s="7"/>
      <c r="G30" s="7"/>
      <c r="H30" s="7"/>
      <c r="I30" s="87"/>
      <c r="J30" s="88" t="str">
        <f>IF(B11="","",B11)</f>
        <v/>
      </c>
      <c r="K30" s="88" t="s">
        <v>52</v>
      </c>
      <c r="L30" s="88">
        <v>1</v>
      </c>
      <c r="M30" s="88" t="str">
        <f>CONCATENATE("M",B6)</f>
        <v>M$</v>
      </c>
      <c r="N30" s="88"/>
      <c r="O30" s="52"/>
      <c r="P30" s="52"/>
      <c r="Q30" s="52"/>
      <c r="R30" s="52"/>
      <c r="S30" s="52"/>
      <c r="T30" s="52"/>
      <c r="U30" s="68"/>
      <c r="V30" s="89"/>
      <c r="W30" s="90"/>
      <c r="X30" s="89"/>
      <c r="Y30" s="89"/>
      <c r="Z30" s="89"/>
      <c r="AA30" s="89"/>
      <c r="AB30" s="89"/>
      <c r="AC30" s="89"/>
      <c r="AD30" s="52"/>
      <c r="AE30" s="52"/>
      <c r="AF30" s="52"/>
      <c r="AG30" s="52"/>
      <c r="AH30" s="52"/>
      <c r="AI30" s="52"/>
      <c r="AJ30" s="68"/>
      <c r="AK30" s="89"/>
      <c r="AL30" s="89"/>
      <c r="AM30" s="28"/>
      <c r="AN30" s="28"/>
      <c r="AO30" s="28"/>
      <c r="AP30" s="28"/>
      <c r="AQ30" s="28"/>
      <c r="AR30" s="28"/>
      <c r="AS30" s="28"/>
      <c r="AT30" s="28"/>
      <c r="AU30" s="28"/>
      <c r="AV30" s="28"/>
      <c r="AW30" s="28"/>
      <c r="AX30" s="28"/>
      <c r="AY30" s="24"/>
      <c r="AZ30" s="7"/>
      <c r="BA30" s="4" t="s">
        <v>33</v>
      </c>
      <c r="BB30" s="4" t="s">
        <v>28</v>
      </c>
      <c r="BC30" s="4">
        <v>22</v>
      </c>
      <c r="BD30" s="5" t="s">
        <v>47</v>
      </c>
      <c r="BE30" s="5">
        <v>1</v>
      </c>
      <c r="BF30" s="5" t="s">
        <v>95</v>
      </c>
      <c r="BG30" s="5" t="s">
        <v>30</v>
      </c>
      <c r="BH30" s="4">
        <f t="shared" si="5"/>
        <v>1E-3</v>
      </c>
      <c r="BI30" s="5">
        <f t="shared" si="6"/>
        <v>1E-3</v>
      </c>
      <c r="BJ30" s="318"/>
    </row>
    <row r="31" spans="1:62" ht="3" customHeight="1" x14ac:dyDescent="0.25">
      <c r="A31" s="318"/>
      <c r="B31" s="11"/>
      <c r="C31" s="11"/>
      <c r="D31" s="11"/>
      <c r="E31" s="11"/>
      <c r="F31" s="11"/>
      <c r="G31" s="11"/>
      <c r="H31" s="11"/>
      <c r="I31" s="22"/>
      <c r="J31" s="22"/>
      <c r="K31" s="22"/>
      <c r="L31" s="22"/>
      <c r="M31" s="22"/>
      <c r="N31" s="22"/>
      <c r="O31" s="52"/>
      <c r="P31" s="52"/>
      <c r="Q31" s="52"/>
      <c r="R31" s="52"/>
      <c r="S31" s="52"/>
      <c r="T31" s="52"/>
      <c r="U31" s="68"/>
      <c r="V31" s="28"/>
      <c r="W31" s="46"/>
      <c r="X31" s="22"/>
      <c r="Y31" s="22"/>
      <c r="Z31" s="22"/>
      <c r="AA31" s="22"/>
      <c r="AB31" s="22"/>
      <c r="AC31" s="22"/>
      <c r="AD31" s="52"/>
      <c r="AE31" s="52"/>
      <c r="AF31" s="52"/>
      <c r="AG31" s="52"/>
      <c r="AH31" s="52"/>
      <c r="AI31" s="52"/>
      <c r="AJ31" s="68"/>
      <c r="AK31" s="89"/>
      <c r="AL31" s="89"/>
      <c r="AM31" s="28"/>
      <c r="AN31" s="28"/>
      <c r="AO31" s="28"/>
      <c r="AP31" s="28"/>
      <c r="AQ31" s="28"/>
      <c r="AR31" s="28"/>
      <c r="AS31" s="28"/>
      <c r="AT31" s="28"/>
      <c r="AU31" s="28"/>
      <c r="AV31" s="28"/>
      <c r="AW31" s="28"/>
      <c r="AX31" s="28"/>
      <c r="AY31" s="24"/>
      <c r="AZ31" s="24"/>
      <c r="BA31" s="4" t="s">
        <v>33</v>
      </c>
      <c r="BB31" s="4" t="s">
        <v>31</v>
      </c>
      <c r="BC31" s="4">
        <v>23</v>
      </c>
      <c r="BD31" s="5" t="s">
        <v>42</v>
      </c>
      <c r="BE31" s="189">
        <f>(0.000001)^2*1000</f>
        <v>1.0000000000000001E-9</v>
      </c>
      <c r="BF31" s="5" t="s">
        <v>90</v>
      </c>
      <c r="BG31" s="5" t="s">
        <v>24</v>
      </c>
      <c r="BH31" s="4">
        <f t="shared" si="5"/>
        <v>1E-3</v>
      </c>
      <c r="BI31" s="5">
        <f t="shared" si="6"/>
        <v>1.0000000000000002E-12</v>
      </c>
      <c r="BJ31" s="318"/>
    </row>
    <row r="32" spans="1:62" ht="25.5" x14ac:dyDescent="0.25">
      <c r="A32" s="318"/>
      <c r="B32" s="7"/>
      <c r="C32" s="7"/>
      <c r="D32" s="7"/>
      <c r="E32" s="7"/>
      <c r="F32" s="7"/>
      <c r="G32" s="7">
        <v>1</v>
      </c>
      <c r="H32" s="7"/>
      <c r="I32" s="98" t="str">
        <f>CONCATENATE("CONVERTER REALIZATION for ",I5)</f>
        <v>CONVERTER REALIZATION for REFERENCE</v>
      </c>
      <c r="J32" s="70"/>
      <c r="K32" s="70"/>
      <c r="L32" s="70">
        <v>1</v>
      </c>
      <c r="M32" s="70"/>
      <c r="N32" s="70"/>
      <c r="O32" s="52"/>
      <c r="P32" s="52"/>
      <c r="Q32" s="52"/>
      <c r="R32" s="52"/>
      <c r="S32" s="52"/>
      <c r="T32" s="52"/>
      <c r="U32" s="68"/>
      <c r="V32" s="28"/>
      <c r="W32" s="46"/>
      <c r="X32" s="69" t="str">
        <f>CONCATENATE(E6," VALUE CAPTURE PRICE LEVELS")</f>
        <v>ENABLE 2005 VALUE CAPTURE PRICE LEVELS</v>
      </c>
      <c r="Y32" s="70"/>
      <c r="Z32" s="70"/>
      <c r="AA32" s="70"/>
      <c r="AB32" s="70"/>
      <c r="AC32" s="70"/>
      <c r="AD32" s="52"/>
      <c r="AE32" s="52"/>
      <c r="AF32" s="52"/>
      <c r="AG32" s="52"/>
      <c r="AH32" s="52"/>
      <c r="AI32" s="52"/>
      <c r="AJ32" s="68"/>
      <c r="AK32" s="179"/>
      <c r="AL32" s="179"/>
      <c r="AM32" s="180" t="s">
        <v>65</v>
      </c>
      <c r="AN32" s="180"/>
      <c r="AO32" s="180"/>
      <c r="AP32" s="180"/>
      <c r="AQ32" s="180"/>
      <c r="AR32" s="180"/>
      <c r="AS32" s="180"/>
      <c r="AT32" s="180"/>
      <c r="AU32" s="180"/>
      <c r="AV32" s="180"/>
      <c r="AW32" s="180"/>
      <c r="AX32" s="180"/>
      <c r="AY32" s="181"/>
      <c r="AZ32" s="24"/>
      <c r="BA32" s="4" t="s">
        <v>33</v>
      </c>
      <c r="BB32" s="4" t="s">
        <v>32</v>
      </c>
      <c r="BC32" s="4">
        <v>24</v>
      </c>
      <c r="BD32" s="5" t="s">
        <v>44</v>
      </c>
      <c r="BE32" s="189">
        <f>0.000001*1000</f>
        <v>1E-3</v>
      </c>
      <c r="BF32" s="5" t="s">
        <v>83</v>
      </c>
      <c r="BG32" s="5" t="s">
        <v>27</v>
      </c>
      <c r="BH32" s="4">
        <f t="shared" si="5"/>
        <v>1E-3</v>
      </c>
      <c r="BI32" s="5">
        <f t="shared" si="6"/>
        <v>9.9999999999999995E-7</v>
      </c>
      <c r="BJ32" s="318"/>
    </row>
    <row r="33" spans="1:62" ht="13.5" x14ac:dyDescent="0.25">
      <c r="A33" s="318"/>
      <c r="B33" s="7"/>
      <c r="C33" s="7"/>
      <c r="D33" s="7"/>
      <c r="E33" s="7"/>
      <c r="F33" s="7"/>
      <c r="G33" s="7"/>
      <c r="H33" s="7"/>
      <c r="I33" s="6" t="s">
        <v>57</v>
      </c>
      <c r="J33" s="5"/>
      <c r="K33" s="5"/>
      <c r="L33" s="167" t="str">
        <f>CONCATENATE(Z45,N22," * ",ROUND(J60,2),X44," =")</f>
        <v>1KT * 1586.33$/TON =</v>
      </c>
      <c r="M33" s="37">
        <f>ROUND((M22*J60)/LOOKUP(1,J28:J30,L28:L30),3)</f>
        <v>1.5860000000000001</v>
      </c>
      <c r="N33" s="4" t="str">
        <f>CONCATENATE(LOOKUP(1,J28:J30,M28:M30)," pa")</f>
        <v>M$ pa</v>
      </c>
      <c r="O33" s="52"/>
      <c r="P33" s="52"/>
      <c r="Q33" s="52"/>
      <c r="R33" s="52"/>
      <c r="S33" s="52"/>
      <c r="T33" s="52"/>
      <c r="U33" s="68"/>
      <c r="V33" s="28"/>
      <c r="W33" s="52"/>
      <c r="X33" s="305" t="str">
        <f>CONCATENATE("EMC % value capture (VC) when ",E6," is priced at the level to the right")</f>
        <v>EMC % value capture (VC) when ENABLE 2005 is priced at the level to the right</v>
      </c>
      <c r="Y33" s="306"/>
      <c r="Z33" s="306"/>
      <c r="AA33" s="36" t="s">
        <v>78</v>
      </c>
      <c r="AB33" s="78">
        <f>AK33+AY33</f>
        <v>1731.7121686270916</v>
      </c>
      <c r="AC33" s="6" t="str">
        <f>N27</f>
        <v>$/TON</v>
      </c>
      <c r="AD33" s="52"/>
      <c r="AE33" s="52"/>
      <c r="AF33" s="52"/>
      <c r="AG33" s="52"/>
      <c r="AH33" s="52"/>
      <c r="AI33" s="52"/>
      <c r="AJ33" s="68"/>
      <c r="AK33" s="182">
        <f>IF($C$13&lt;&gt;1,(U47*100%*100%*100%-AJ$6*SUMPRODUCT($F$9:$F$18,$G$9:$G$18,AJ$9:AJ$18)*AK47)/(AJ$6*$G$19*AJ$19*AK47),(U47*100%*100%*100%-AJ$6*AB$42*SUMPRODUCT($F$9:$F$18,AJ$9:AJ$18)*AK47)/(AJ$6*AB$42*AJ$19*AK47))</f>
        <v>1731.7121686270916</v>
      </c>
      <c r="AL33" s="183"/>
      <c r="AM33" s="184" t="str">
        <f>CONCATENATE("100% of VC in ",F8)</f>
        <v>100% of VC in $/TON</v>
      </c>
      <c r="AN33" s="184"/>
      <c r="AO33" s="184"/>
      <c r="AP33" s="184"/>
      <c r="AQ33" s="184"/>
      <c r="AR33" s="184"/>
      <c r="AS33" s="184"/>
      <c r="AT33" s="184"/>
      <c r="AU33" s="184"/>
      <c r="AV33" s="184"/>
      <c r="AW33" s="184"/>
      <c r="AX33" s="184"/>
      <c r="AY33" s="174">
        <f>IF(AB27&gt;=100%,AZ33-AZ35,AZ33-AZ35)</f>
        <v>0</v>
      </c>
      <c r="AZ33" s="5">
        <f>IF($C$13&lt;&gt;1,(U47*AB27*100%-AY$6*SUMPRODUCT($F$9:$F$18,$G$9:$G$18,AY$9:AY$18)*AZ47)/(AY$6*$G$19*AY$19*AZ47),(U47*AB27*100%-AY$6*AB$42*SUMPRODUCT($F$9:$F$18,AY$9:AY$18)*AZ47)/(AY$6*AB$42*AY$19*AZ47))</f>
        <v>1229.7061016990351</v>
      </c>
      <c r="BA33" s="24"/>
      <c r="BB33" s="24"/>
      <c r="BC33" s="24"/>
      <c r="BD33" s="24"/>
      <c r="BE33" s="24"/>
      <c r="BF33" s="24"/>
      <c r="BG33" s="24"/>
      <c r="BH33" s="24"/>
      <c r="BI33" s="24"/>
      <c r="BJ33" s="318"/>
    </row>
    <row r="34" spans="1:62" ht="13.5" x14ac:dyDescent="0.25">
      <c r="A34" s="318"/>
      <c r="B34" s="7"/>
      <c r="C34" s="7"/>
      <c r="D34" s="7"/>
      <c r="E34" s="7"/>
      <c r="F34" s="7"/>
      <c r="G34" s="7"/>
      <c r="H34" s="7"/>
      <c r="I34" s="6" t="s">
        <v>55</v>
      </c>
      <c r="J34" s="5"/>
      <c r="K34" s="5"/>
      <c r="L34" s="167" t="str">
        <f>CONCATENATE(ROUND(Z45,2),N22," * ",ROUND(Z44,2),X44," =")</f>
        <v>1KT * 1220.25$/TON =</v>
      </c>
      <c r="M34" s="37">
        <f>ROUND((-M22*Z44)/LOOKUP(1,J28:J30,L28:L30),3)</f>
        <v>-1.22</v>
      </c>
      <c r="N34" s="4" t="str">
        <f>CONCATENATE(LOOKUP(1,J28:J30,M28:M30)," pa")</f>
        <v>M$ pa</v>
      </c>
      <c r="O34" s="52"/>
      <c r="P34" s="52"/>
      <c r="Q34" s="52"/>
      <c r="R34" s="52"/>
      <c r="S34" s="52"/>
      <c r="T34" s="52"/>
      <c r="U34" s="68"/>
      <c r="V34" s="28"/>
      <c r="W34" s="156"/>
      <c r="X34" s="306"/>
      <c r="Y34" s="306"/>
      <c r="Z34" s="306"/>
      <c r="AA34" s="36" t="s">
        <v>79</v>
      </c>
      <c r="AB34" s="78">
        <f>AK34+AY34</f>
        <v>1475.8417470687107</v>
      </c>
      <c r="AC34" s="164" t="str">
        <f>N27</f>
        <v>$/TON</v>
      </c>
      <c r="AD34" s="52"/>
      <c r="AE34" s="52"/>
      <c r="AF34" s="52"/>
      <c r="AG34" s="52"/>
      <c r="AH34" s="52"/>
      <c r="AI34" s="52"/>
      <c r="AJ34" s="68"/>
      <c r="AK34" s="182">
        <f>IF($C$13&lt;&gt;1,(U47*(100%-ABS(AB26)*0.5)*(100%-(Z42-AB42)/Z42*0.5)*100%-AJ$6*SUMPRODUCT($F$9:$F$18,$G$9:$G$18,AJ$9:AJ$18)*AK48)/(AJ$6*$G$19*AJ$19*AK48),(U47*(100%-ABS(AB26)*0.5)*(100%-(Z42-AB42)/Z42*0.5)*100%-AJ$6*AB$42*SUMPRODUCT($F$9:$F$18,AJ$9:AJ$18)*AK48)/(AJ$6*AB$42*AJ$19*AK48))</f>
        <v>1475.8417470687107</v>
      </c>
      <c r="AL34" s="183"/>
      <c r="AM34" s="184" t="str">
        <f>CONCATENATE("50% of VC in ",F8)</f>
        <v>50% of VC in $/TON</v>
      </c>
      <c r="AN34" s="184"/>
      <c r="AO34" s="184"/>
      <c r="AP34" s="184"/>
      <c r="AQ34" s="184"/>
      <c r="AR34" s="184"/>
      <c r="AS34" s="184"/>
      <c r="AT34" s="184"/>
      <c r="AU34" s="184"/>
      <c r="AV34" s="184"/>
      <c r="AW34" s="184"/>
      <c r="AX34" s="184"/>
      <c r="AY34" s="174">
        <f>IF(AB27&gt;=100%,AZ34-AZ35,AZ33-AZ35)</f>
        <v>0</v>
      </c>
      <c r="AZ34" s="5">
        <f>IF($C$13&lt;&gt;1,(U47*(100%+(AB27-100%)*0.5)-AY$6*SUMPRODUCT($F$9:$F$18,$G$9:$G$18,AY$9:AY$18)*AZ48)/(AY$6*$G$19*AY$19*AZ48),(U47*(100%+(AB27-100%)*0.5)-AY$6*AB$42*SUMPRODUCT($F$9:$F$18,AY$9:AY$18)*AZ48)/(AY$6*AB$42*AY$19*AZ48))</f>
        <v>1229.7061016990351</v>
      </c>
      <c r="BA34" s="89"/>
      <c r="BB34" s="81"/>
      <c r="BC34" s="81"/>
      <c r="BD34" s="81"/>
      <c r="BE34" s="81"/>
      <c r="BF34" s="81"/>
      <c r="BG34" s="81"/>
      <c r="BH34" s="81"/>
      <c r="BI34" s="24"/>
      <c r="BJ34" s="318"/>
    </row>
    <row r="35" spans="1:62" ht="14.25" thickBot="1" x14ac:dyDescent="0.3">
      <c r="A35" s="318"/>
      <c r="B35" s="7"/>
      <c r="C35" s="7"/>
      <c r="D35" s="7"/>
      <c r="E35" s="7"/>
      <c r="F35" s="7"/>
      <c r="G35" s="7"/>
      <c r="H35" s="7"/>
      <c r="I35" s="6" t="s">
        <v>56</v>
      </c>
      <c r="J35" s="5"/>
      <c r="K35" s="5"/>
      <c r="L35" s="167" t="str">
        <f>CONCATENATE(M26,"/365 * (",Z45,N22,"*",ROUND(Z44,2),X44,") =")</f>
        <v>31/365 * (1KT*1220.25$/TON) =</v>
      </c>
      <c r="M35" s="37">
        <f>ROUND(M26/365*(M34),10)</f>
        <v>-0.1036164384</v>
      </c>
      <c r="N35" s="4" t="str">
        <f>CONCATENATE(LOOKUP(1,J28:J30,M28:M30)," pa")</f>
        <v>M$ pa</v>
      </c>
      <c r="O35" s="52"/>
      <c r="P35" s="52"/>
      <c r="Q35" s="52"/>
      <c r="R35" s="52"/>
      <c r="S35" s="52"/>
      <c r="T35" s="52"/>
      <c r="U35" s="68"/>
      <c r="V35" s="28"/>
      <c r="W35" s="52"/>
      <c r="X35" s="307"/>
      <c r="Y35" s="307"/>
      <c r="Z35" s="307"/>
      <c r="AA35" s="36" t="s">
        <v>80</v>
      </c>
      <c r="AB35" s="78">
        <f>AK35+AY35</f>
        <v>1220.666666666667</v>
      </c>
      <c r="AC35" s="164" t="str">
        <f>N27</f>
        <v>$/TON</v>
      </c>
      <c r="AD35" s="52"/>
      <c r="AE35" s="52"/>
      <c r="AF35" s="52"/>
      <c r="AG35" s="52"/>
      <c r="AH35" s="52"/>
      <c r="AI35" s="52"/>
      <c r="AJ35" s="68"/>
      <c r="AK35" s="182">
        <f>IF($C$13&lt;&gt;1,(U47*(100%-ABS(AB26))*(100%-(Z42-AB42)/Z42)*100%-AJ$6*SUMPRODUCT($F$9:$F$18,$G$9:$G$18,AJ$9:AJ$18)*AK49)/(AJ$6*$G$19*AJ$19*AK49),(U47*(100%-ABS(AB26))*(100%-(Z42-AB42)/Z42)*100%-AJ$6*AB$42*SUMPRODUCT($F$9:$F$18,AJ$9:AJ$18)*AK49)/(AJ$6*AB$42*AJ$19*AK49))</f>
        <v>1220.666666666667</v>
      </c>
      <c r="AL35" s="183"/>
      <c r="AM35" s="186" t="str">
        <f>CONCATENATE("0% of VC in ",F8)</f>
        <v>0% of VC in $/TON</v>
      </c>
      <c r="AN35" s="186"/>
      <c r="AO35" s="186"/>
      <c r="AP35" s="186"/>
      <c r="AQ35" s="186"/>
      <c r="AR35" s="186"/>
      <c r="AS35" s="186"/>
      <c r="AT35" s="186"/>
      <c r="AU35" s="186"/>
      <c r="AV35" s="186"/>
      <c r="AW35" s="186"/>
      <c r="AX35" s="186"/>
      <c r="AY35" s="174">
        <f>IF(AB27&gt;=100%,AZ35-AZ35,AZ33-AZ35)</f>
        <v>0</v>
      </c>
      <c r="AZ35" s="5">
        <f>IF($C$13&lt;&gt;1,(U47*100%-AY$6*SUMPRODUCT($F$9:$F$18,$G$9:$G$18,AY$9:AY$18)*AZ49)/(AY$6*$G$19*AY$19*AZ49),(U47*100%-AY$6*AB$42*SUMPRODUCT($F$9:$F$18,AY$9:AY$18)*AZ49)/(AY$6*AB$42*AY$19*AZ49))</f>
        <v>1229.7061016990351</v>
      </c>
      <c r="BA35" s="89"/>
      <c r="BB35" s="89"/>
      <c r="BC35" s="89"/>
      <c r="BD35" s="81"/>
      <c r="BE35" s="89"/>
      <c r="BF35" s="81"/>
      <c r="BG35" s="89"/>
      <c r="BH35" s="81"/>
      <c r="BI35" s="24"/>
      <c r="BJ35" s="318"/>
    </row>
    <row r="36" spans="1:62" ht="14.25" thickTop="1" x14ac:dyDescent="0.25">
      <c r="A36" s="318"/>
      <c r="B36" s="7"/>
      <c r="C36" s="7"/>
      <c r="D36" s="7"/>
      <c r="E36" s="7"/>
      <c r="F36" s="7"/>
      <c r="G36" s="7"/>
      <c r="H36" s="7"/>
      <c r="I36" s="6" t="s">
        <v>60</v>
      </c>
      <c r="J36" s="165"/>
      <c r="K36" s="165"/>
      <c r="L36" s="167" t="str">
        <f>CONCATENATE(M22,N22," * ",M27,N27," =")</f>
        <v>1KT * 50$/TON =</v>
      </c>
      <c r="M36" s="172">
        <f>ROUND((-M22)*M27/LOOKUP(1,J28:J30,L28:L30),3)</f>
        <v>-0.05</v>
      </c>
      <c r="N36" s="191" t="str">
        <f>CONCATENATE(LOOKUP(1,J28:J30,M28:M30)," pa")</f>
        <v>M$ pa</v>
      </c>
      <c r="O36" s="52"/>
      <c r="P36" s="52"/>
      <c r="Q36" s="52"/>
      <c r="R36" s="52"/>
      <c r="S36" s="52"/>
      <c r="T36" s="52"/>
      <c r="U36" s="68"/>
      <c r="V36" s="28"/>
      <c r="W36" s="52"/>
      <c r="X36" s="308" t="str">
        <f>CONCATENATE("Converter Margin Improvement (CMI) for ",E6," TARGET PRICE using Raw Material Costs (RMC)")</f>
        <v>Converter Margin Improvement (CMI) for ENABLE 2005 TARGET PRICE using Raw Material Costs (RMC)</v>
      </c>
      <c r="Y36" s="309"/>
      <c r="Z36" s="309"/>
      <c r="AA36" s="207" t="s">
        <v>81</v>
      </c>
      <c r="AB36" s="208">
        <f>IF($C13&lt;&gt;1,(SUMPRODUCT($F9:$F18,$G9:$G18,AJ9:AJ18)+$G19*AJ19*$F19)*AJ6*AK47,(SUMPRODUCT($F9:$F18,AJ9:AJ18)+AJ19*$F19)*AB42*AJ6*AK47)</f>
        <v>7.6520231107274572E-2</v>
      </c>
      <c r="AC36" s="209" t="str">
        <f>M47</f>
        <v>$ per sq m</v>
      </c>
      <c r="AD36" s="52"/>
      <c r="AE36" s="52"/>
      <c r="AF36" s="52"/>
      <c r="AG36" s="52"/>
      <c r="AH36" s="52"/>
      <c r="AI36" s="52"/>
      <c r="AJ36" s="68"/>
      <c r="AK36" s="183"/>
      <c r="AL36" s="183"/>
      <c r="AM36" s="180" t="str">
        <f>CONCATENATE("UNIT COST in ",B6," per ",LOOKUP(BA6,BC9:BC32,BG9:BG32))</f>
        <v>UNIT COST in $ per sq m</v>
      </c>
      <c r="AN36" s="180"/>
      <c r="AO36" s="180"/>
      <c r="AP36" s="180"/>
      <c r="AQ36" s="180"/>
      <c r="AR36" s="180"/>
      <c r="AS36" s="180"/>
      <c r="AT36" s="180"/>
      <c r="AU36" s="180"/>
      <c r="AV36" s="180"/>
      <c r="AW36" s="180"/>
      <c r="AX36" s="180"/>
      <c r="AY36" s="187">
        <f>IF($C13&lt;&gt;1,(SUMPRODUCT($F9:$F18,$G9:$G18,AY9:AY18)+$G19*AY19*$F19)*AY6*AZ47,(SUMPRODUCT($F9:$F18,AY9:AY18)+AY19*$F19)*AB42*AY6*AZ47)</f>
        <v>8.8292574354547598E-2</v>
      </c>
      <c r="AZ36" s="7"/>
      <c r="BA36" s="89"/>
      <c r="BB36" s="89"/>
      <c r="BC36" s="89"/>
      <c r="BD36" s="89"/>
      <c r="BE36" s="89"/>
      <c r="BF36" s="89"/>
      <c r="BG36" s="89"/>
      <c r="BH36" s="89"/>
      <c r="BI36" s="7"/>
      <c r="BJ36" s="318"/>
    </row>
    <row r="37" spans="1:62" ht="13.5" x14ac:dyDescent="0.25">
      <c r="A37" s="318"/>
      <c r="B37" s="7"/>
      <c r="C37" s="7"/>
      <c r="D37" s="7"/>
      <c r="E37" s="7"/>
      <c r="F37" s="7"/>
      <c r="G37" s="7"/>
      <c r="H37" s="7"/>
      <c r="I37" s="70" t="s">
        <v>101</v>
      </c>
      <c r="J37" s="237"/>
      <c r="K37" s="238"/>
      <c r="L37" s="238"/>
      <c r="M37" s="239"/>
      <c r="N37" s="238"/>
      <c r="O37" s="52"/>
      <c r="P37" s="52"/>
      <c r="Q37" s="52"/>
      <c r="R37" s="52"/>
      <c r="S37" s="52"/>
      <c r="T37" s="52"/>
      <c r="U37" s="68"/>
      <c r="V37" s="28"/>
      <c r="W37" s="156"/>
      <c r="X37" s="310"/>
      <c r="Y37" s="310"/>
      <c r="Z37" s="310"/>
      <c r="AA37" s="202" t="s">
        <v>82</v>
      </c>
      <c r="AB37" s="204">
        <f>AJ47-AB36</f>
        <v>8.6331142935381494E-3</v>
      </c>
      <c r="AC37" s="206" t="str">
        <f>AC36</f>
        <v>$ per sq m</v>
      </c>
      <c r="AD37" s="52"/>
      <c r="AE37" s="52"/>
      <c r="AF37" s="52"/>
      <c r="AG37" s="52"/>
      <c r="AH37" s="52"/>
      <c r="AI37" s="52"/>
      <c r="AJ37" s="68"/>
      <c r="AK37" s="125"/>
      <c r="AL37" s="125"/>
      <c r="AM37" s="180" t="str">
        <f>CONCATENATE(B6," per ",LOOKUP(BA6,BC9:BC32,BG9:BG32)," CREATED vs. ",I5)</f>
        <v>$ per sq m CREATED vs. REFERENCE</v>
      </c>
      <c r="AN37" s="180"/>
      <c r="AO37" s="180"/>
      <c r="AP37" s="180"/>
      <c r="AQ37" s="180"/>
      <c r="AR37" s="180"/>
      <c r="AS37" s="180"/>
      <c r="AT37" s="180"/>
      <c r="AU37" s="180"/>
      <c r="AV37" s="180"/>
      <c r="AW37" s="180"/>
      <c r="AX37" s="180"/>
      <c r="AY37" s="187">
        <f>AY47-AY36</f>
        <v>-3.1392289537348905E-3</v>
      </c>
      <c r="AZ37" s="7"/>
      <c r="BA37" s="7"/>
      <c r="BB37" s="7"/>
      <c r="BC37" s="7"/>
      <c r="BD37" s="7"/>
      <c r="BE37" s="7"/>
      <c r="BF37" s="7"/>
      <c r="BG37" s="7"/>
      <c r="BH37" s="7"/>
      <c r="BI37" s="7"/>
      <c r="BJ37" s="318"/>
    </row>
    <row r="38" spans="1:62" ht="13.5" x14ac:dyDescent="0.25">
      <c r="A38" s="318"/>
      <c r="B38" s="7"/>
      <c r="C38" s="7"/>
      <c r="D38" s="7"/>
      <c r="E38" s="7"/>
      <c r="F38" s="7"/>
      <c r="G38" s="7"/>
      <c r="H38" s="7"/>
      <c r="I38" s="164"/>
      <c r="J38" s="166"/>
      <c r="K38" s="166" t="s">
        <v>77</v>
      </c>
      <c r="L38" s="164"/>
      <c r="M38" s="173">
        <f>SUM(M33,M34,M35,M36)</f>
        <v>0.2123835616000001</v>
      </c>
      <c r="N38" s="192" t="str">
        <f>CONCATENATE(LOOKUP(1,J28:J30,M28:M30)," pa")</f>
        <v>M$ pa</v>
      </c>
      <c r="O38" s="52"/>
      <c r="P38" s="52"/>
      <c r="Q38" s="52"/>
      <c r="R38" s="52"/>
      <c r="S38" s="52"/>
      <c r="T38" s="52"/>
      <c r="U38" s="68"/>
      <c r="V38" s="28"/>
      <c r="W38" s="52"/>
      <c r="X38" s="310"/>
      <c r="Y38" s="310"/>
      <c r="Z38" s="310"/>
      <c r="AA38" s="202" t="s">
        <v>99</v>
      </c>
      <c r="AB38" s="205">
        <f>AB37/$AB36</f>
        <v>0.11282133062869726</v>
      </c>
      <c r="AC38" s="206"/>
      <c r="AD38" s="52"/>
      <c r="AE38" s="52"/>
      <c r="AF38" s="52"/>
      <c r="AG38" s="52"/>
      <c r="AH38" s="52"/>
      <c r="AI38" s="52"/>
      <c r="AJ38" s="68"/>
      <c r="AK38" s="125"/>
      <c r="AL38" s="125"/>
      <c r="AM38" s="180" t="str">
        <f>CONCATENATE("% POTENTIAL MARGIN IMPROVEMENT vs. ",I5)</f>
        <v>% POTENTIAL MARGIN IMPROVEMENT vs. REFERENCE</v>
      </c>
      <c r="AN38" s="180"/>
      <c r="AO38" s="180"/>
      <c r="AP38" s="180"/>
      <c r="AQ38" s="180"/>
      <c r="AR38" s="180"/>
      <c r="AS38" s="180"/>
      <c r="AT38" s="180"/>
      <c r="AU38" s="180"/>
      <c r="AV38" s="180"/>
      <c r="AW38" s="180"/>
      <c r="AX38" s="180"/>
      <c r="AY38" s="188">
        <f>AY37/$AY36</f>
        <v>-3.5554846788462699E-2</v>
      </c>
      <c r="AZ38" s="7"/>
      <c r="BA38" s="7"/>
      <c r="BB38" s="7"/>
      <c r="BC38" s="7"/>
      <c r="BD38" s="7"/>
      <c r="BE38" s="7"/>
      <c r="BF38" s="7"/>
      <c r="BG38" s="7"/>
      <c r="BH38" s="7"/>
      <c r="BI38" s="7"/>
      <c r="BJ38" s="318"/>
    </row>
    <row r="39" spans="1:62" ht="3" customHeight="1" thickBot="1" x14ac:dyDescent="0.3">
      <c r="A39" s="318"/>
      <c r="B39" s="7"/>
      <c r="C39" s="7"/>
      <c r="D39" s="7"/>
      <c r="E39" s="7"/>
      <c r="F39" s="7"/>
      <c r="G39" s="7"/>
      <c r="H39" s="7"/>
      <c r="I39" s="176"/>
      <c r="J39" s="175"/>
      <c r="K39" s="175"/>
      <c r="L39" s="176"/>
      <c r="M39" s="177"/>
      <c r="N39" s="177"/>
      <c r="O39" s="52"/>
      <c r="P39" s="52"/>
      <c r="Q39" s="52"/>
      <c r="R39" s="52"/>
      <c r="S39" s="52"/>
      <c r="T39" s="52"/>
      <c r="U39" s="68"/>
      <c r="V39" s="28"/>
      <c r="W39" s="52"/>
      <c r="X39" s="178"/>
      <c r="Y39" s="178"/>
      <c r="Z39" s="178"/>
      <c r="AA39" s="178"/>
      <c r="AB39" s="185"/>
      <c r="AC39" s="185"/>
      <c r="AD39" s="52"/>
      <c r="AE39" s="52"/>
      <c r="AF39" s="52"/>
      <c r="AG39" s="52"/>
      <c r="AH39" s="52"/>
      <c r="AI39" s="52"/>
      <c r="AJ39" s="68"/>
      <c r="AK39" s="7"/>
      <c r="AL39" s="7"/>
      <c r="AM39" s="15"/>
      <c r="AN39" s="15"/>
      <c r="AO39" s="15"/>
      <c r="AP39" s="15"/>
      <c r="AQ39" s="15"/>
      <c r="AR39" s="15"/>
      <c r="AS39" s="15"/>
      <c r="AT39" s="15"/>
      <c r="AU39" s="15"/>
      <c r="AV39" s="15"/>
      <c r="AW39" s="15"/>
      <c r="AX39" s="15"/>
      <c r="AY39" s="24"/>
      <c r="AZ39" s="7"/>
      <c r="BA39" s="7"/>
      <c r="BB39" s="7"/>
      <c r="BC39" s="7"/>
      <c r="BD39" s="7"/>
      <c r="BE39" s="7"/>
      <c r="BF39" s="7"/>
      <c r="BG39" s="7"/>
      <c r="BH39" s="7"/>
      <c r="BI39" s="7"/>
      <c r="BJ39" s="318"/>
    </row>
    <row r="40" spans="1:62" ht="14.25" thickTop="1" x14ac:dyDescent="0.25">
      <c r="A40" s="318"/>
      <c r="B40" s="7"/>
      <c r="C40" s="7"/>
      <c r="D40" s="7"/>
      <c r="E40" s="7"/>
      <c r="F40" s="7"/>
      <c r="G40" s="7"/>
      <c r="H40" s="7"/>
      <c r="I40" s="98" t="str">
        <f>CONCATENATE("DOWNSTREAM PLAYERS PURCHASING COSTS for ",I5)</f>
        <v>DOWNSTREAM PLAYERS PURCHASING COSTS for REFERENCE</v>
      </c>
      <c r="J40" s="70"/>
      <c r="K40" s="70"/>
      <c r="L40" s="70"/>
      <c r="M40" s="70"/>
      <c r="N40" s="70"/>
      <c r="O40" s="52"/>
      <c r="P40" s="52"/>
      <c r="Q40" s="52"/>
      <c r="R40" s="52"/>
      <c r="S40" s="52"/>
      <c r="T40" s="52"/>
      <c r="U40" s="68"/>
      <c r="V40" s="28"/>
      <c r="W40" s="52"/>
      <c r="X40" s="218" t="s">
        <v>55</v>
      </c>
      <c r="Y40" s="218"/>
      <c r="Z40" s="230" t="str">
        <f>I5</f>
        <v>REFERENCE</v>
      </c>
      <c r="AA40" s="231"/>
      <c r="AB40" s="218" t="str">
        <f>X5</f>
        <v>ALTERNATIVE</v>
      </c>
      <c r="AC40" s="218"/>
      <c r="AD40" s="52"/>
      <c r="AE40" s="52"/>
      <c r="AF40" s="52"/>
      <c r="AG40" s="52"/>
      <c r="AH40" s="52"/>
      <c r="AI40" s="52"/>
      <c r="AJ40" s="68"/>
      <c r="AK40" s="7"/>
      <c r="AL40" s="7"/>
      <c r="AM40" s="15"/>
      <c r="AN40" s="15"/>
      <c r="AO40" s="15"/>
      <c r="AP40" s="15"/>
      <c r="AQ40" s="15"/>
      <c r="AR40" s="15"/>
      <c r="AS40" s="15"/>
      <c r="AT40" s="15"/>
      <c r="AU40" s="15"/>
      <c r="AV40" s="15"/>
      <c r="AW40" s="15"/>
      <c r="AX40" s="15"/>
      <c r="AY40" s="24"/>
      <c r="AZ40" s="7"/>
      <c r="BA40" s="7"/>
      <c r="BB40" s="7"/>
      <c r="BC40" s="7"/>
      <c r="BD40" s="7"/>
      <c r="BE40" s="7"/>
      <c r="BF40" s="7"/>
      <c r="BG40" s="7"/>
      <c r="BH40" s="7"/>
      <c r="BI40" s="7"/>
      <c r="BJ40" s="318"/>
    </row>
    <row r="41" spans="1:62" ht="13.5" x14ac:dyDescent="0.25">
      <c r="A41" s="318"/>
      <c r="B41" s="7"/>
      <c r="C41" s="7"/>
      <c r="D41" s="7"/>
      <c r="E41" s="7"/>
      <c r="F41" s="7"/>
      <c r="G41" s="7"/>
      <c r="H41" s="7"/>
      <c r="I41" s="6" t="s">
        <v>76</v>
      </c>
      <c r="J41" s="5"/>
      <c r="K41" s="5"/>
      <c r="L41" s="167" t="str">
        <f>CONCATENATE(Z45,N22," * ",ROUND(J60,2),X44," =")</f>
        <v>1KT * 1586.33$/TON =</v>
      </c>
      <c r="M41" s="37">
        <f>ROUND((M22*J60)/LOOKUP(1,J28:J30,L28:L30),3)</f>
        <v>1.5860000000000001</v>
      </c>
      <c r="N41" s="4" t="str">
        <f>CONCATENATE(LOOKUP(1,J28:J30,M28:M30)," pa")</f>
        <v>M$ pa</v>
      </c>
      <c r="O41" s="52"/>
      <c r="P41" s="52"/>
      <c r="Q41" s="52"/>
      <c r="R41" s="52"/>
      <c r="S41" s="52"/>
      <c r="T41" s="52"/>
      <c r="U41" s="68"/>
      <c r="V41" s="28"/>
      <c r="W41" s="52"/>
      <c r="X41" s="210" t="str">
        <f>CONCATENATE(B6," per 1000 ",LOOKUP(BA6,BC9:BC32,BG9:BG32))</f>
        <v>$ per 1000 sq m</v>
      </c>
      <c r="Y41" s="201"/>
      <c r="Z41" s="232">
        <f>U47*1000</f>
        <v>85.153345400812725</v>
      </c>
      <c r="AA41" s="233"/>
      <c r="AB41" s="216">
        <f>AB36*1000</f>
        <v>76.520231107274569</v>
      </c>
      <c r="AC41" s="210"/>
      <c r="AD41" s="52"/>
      <c r="AE41" s="52"/>
      <c r="AF41" s="52"/>
      <c r="AG41" s="52"/>
      <c r="AH41" s="52"/>
      <c r="AI41" s="52"/>
      <c r="AJ41" s="68"/>
      <c r="AK41" s="7"/>
      <c r="AL41" s="7"/>
      <c r="AM41" s="15"/>
      <c r="AN41" s="15"/>
      <c r="AO41" s="15"/>
      <c r="AP41" s="15"/>
      <c r="AQ41" s="15"/>
      <c r="AR41" s="15"/>
      <c r="AS41" s="15"/>
      <c r="AT41" s="15"/>
      <c r="AU41" s="15"/>
      <c r="AV41" s="15"/>
      <c r="AW41" s="15"/>
      <c r="AX41" s="15"/>
      <c r="AY41" s="24"/>
      <c r="AZ41" s="7"/>
      <c r="BA41" s="7"/>
      <c r="BB41" s="7"/>
      <c r="BC41" s="7"/>
      <c r="BD41" s="7"/>
      <c r="BE41" s="7"/>
      <c r="BF41" s="7"/>
      <c r="BG41" s="7"/>
      <c r="BH41" s="7"/>
      <c r="BI41" s="7"/>
      <c r="BJ41" s="318"/>
    </row>
    <row r="42" spans="1:62" ht="13.5" x14ac:dyDescent="0.25">
      <c r="A42" s="318"/>
      <c r="B42" s="7"/>
      <c r="C42" s="7"/>
      <c r="D42" s="7"/>
      <c r="E42" s="7"/>
      <c r="F42" s="7"/>
      <c r="G42" s="7"/>
      <c r="H42" s="7"/>
      <c r="I42" s="6" t="s">
        <v>56</v>
      </c>
      <c r="J42" s="5"/>
      <c r="K42" s="5"/>
      <c r="L42" s="167" t="str">
        <f>CONCATENATE(M26,"/365 * (",Z45,N22,"*",ROUND(M24,2),X44,") =")</f>
        <v>31/365 * (1KT*1586.33$/TON) =</v>
      </c>
      <c r="M42" s="37">
        <f>ROUND(M26/365*(M41),10)</f>
        <v>0.13470136990000001</v>
      </c>
      <c r="N42" s="4" t="str">
        <f>CONCATENATE(LOOKUP(1,J28:J30,M28:M30)," pa")</f>
        <v>M$ pa</v>
      </c>
      <c r="O42" s="52"/>
      <c r="P42" s="52"/>
      <c r="Q42" s="52"/>
      <c r="R42" s="52"/>
      <c r="S42" s="52"/>
      <c r="T42" s="52"/>
      <c r="U42" s="68"/>
      <c r="V42" s="28"/>
      <c r="W42" s="52"/>
      <c r="X42" s="210" t="s">
        <v>64</v>
      </c>
      <c r="Y42" s="201"/>
      <c r="Z42" s="234">
        <f>IF($C$13&lt;&gt;1,SUM(V9:V19),1/SUM(V9:V19))</f>
        <v>0.93044698928703384</v>
      </c>
      <c r="AA42" s="233"/>
      <c r="AB42" s="217">
        <f>IF($C$13&lt;&gt;1,SUM(AK9:AK19),1/SUM(AK9:AK19))</f>
        <v>0.92786941850427695</v>
      </c>
      <c r="AC42" s="210"/>
      <c r="AD42" s="52"/>
      <c r="AE42" s="52"/>
      <c r="AF42" s="52"/>
      <c r="AG42" s="52"/>
      <c r="AH42" s="52"/>
      <c r="AI42" s="52"/>
      <c r="AJ42" s="68"/>
      <c r="AK42" s="7"/>
      <c r="AL42" s="7"/>
      <c r="AM42" s="15"/>
      <c r="AN42" s="15"/>
      <c r="AO42" s="15"/>
      <c r="AP42" s="15"/>
      <c r="AQ42" s="15"/>
      <c r="AR42" s="15"/>
      <c r="AS42" s="15"/>
      <c r="AT42" s="15"/>
      <c r="AU42" s="15"/>
      <c r="AV42" s="15"/>
      <c r="AW42" s="15"/>
      <c r="AX42" s="15"/>
      <c r="AY42" s="24"/>
      <c r="AZ42" s="7"/>
      <c r="BA42" s="7"/>
      <c r="BB42" s="7"/>
      <c r="BC42" s="7"/>
      <c r="BD42" s="7"/>
      <c r="BE42" s="7"/>
      <c r="BF42" s="7"/>
      <c r="BG42" s="7"/>
      <c r="BH42" s="7"/>
      <c r="BI42" s="7"/>
      <c r="BJ42" s="318"/>
    </row>
    <row r="43" spans="1:62" ht="13.5" x14ac:dyDescent="0.25">
      <c r="A43" s="318"/>
      <c r="B43" s="7"/>
      <c r="C43" s="7"/>
      <c r="D43" s="7"/>
      <c r="E43" s="7"/>
      <c r="F43" s="7"/>
      <c r="G43" s="7"/>
      <c r="H43" s="7"/>
      <c r="I43" s="164"/>
      <c r="J43" s="5"/>
      <c r="K43" s="4" t="s">
        <v>77</v>
      </c>
      <c r="L43" s="167"/>
      <c r="M43" s="37">
        <f>SUM(M41:M42)</f>
        <v>1.7207013699</v>
      </c>
      <c r="N43" s="4" t="str">
        <f>CONCATENATE(LOOKUP(1,J28:J30,M28:M30)," pa")</f>
        <v>M$ pa</v>
      </c>
      <c r="O43" s="52"/>
      <c r="P43" s="52"/>
      <c r="Q43" s="52"/>
      <c r="R43" s="52"/>
      <c r="S43" s="52"/>
      <c r="T43" s="52"/>
      <c r="U43" s="68"/>
      <c r="V43" s="28"/>
      <c r="W43" s="52"/>
      <c r="X43" s="210" t="str">
        <f>LOOKUP(BA6,BC9:BC32,BF9:BF32)</f>
        <v>KG / 1000 sq m</v>
      </c>
      <c r="Y43" s="201"/>
      <c r="Z43" s="232">
        <f>IF($BF5&lt;&gt;1,Z42*U6*LOOKUP($BA6,$BC9:$BC32,$BE9:$BE32),Z42*LOOKUP($BA6,$BC9:$BC32,$BE9:$BE32))*1000</f>
        <v>69.783524196527537</v>
      </c>
      <c r="AA43" s="233"/>
      <c r="AB43" s="216">
        <f>IF($BF5&lt;&gt;1,AB42*AJ6*LOOKUP($BA6,$BC9:$BC32,$BE9:$BE32),AB42*LOOKUP($BA6,$BC9:$BC32,$BE9:$BE32))*1000</f>
        <v>60.311512202778005</v>
      </c>
      <c r="AC43" s="210"/>
      <c r="AD43" s="52"/>
      <c r="AE43" s="52"/>
      <c r="AF43" s="52"/>
      <c r="AG43" s="52"/>
      <c r="AH43" s="52"/>
      <c r="AI43" s="52"/>
      <c r="AJ43" s="68"/>
      <c r="AK43" s="7"/>
      <c r="AL43" s="7"/>
      <c r="AM43" s="15"/>
      <c r="AN43" s="15"/>
      <c r="AO43" s="15"/>
      <c r="AP43" s="15"/>
      <c r="AQ43" s="15"/>
      <c r="AR43" s="15"/>
      <c r="AS43" s="15"/>
      <c r="AT43" s="15"/>
      <c r="AU43" s="15"/>
      <c r="AV43" s="15"/>
      <c r="AW43" s="15"/>
      <c r="AX43" s="15"/>
      <c r="AY43" s="24"/>
      <c r="AZ43" s="7"/>
      <c r="BA43" s="7"/>
      <c r="BB43" s="7"/>
      <c r="BC43" s="7"/>
      <c r="BD43" s="7"/>
      <c r="BE43" s="7"/>
      <c r="BF43" s="7"/>
      <c r="BG43" s="7"/>
      <c r="BH43" s="7"/>
      <c r="BI43" s="7"/>
      <c r="BJ43" s="318"/>
    </row>
    <row r="44" spans="1:62" ht="13.5" x14ac:dyDescent="0.25">
      <c r="A44" s="318"/>
      <c r="B44" s="7"/>
      <c r="C44" s="7"/>
      <c r="D44" s="7"/>
      <c r="E44" s="7"/>
      <c r="F44" s="7"/>
      <c r="G44" s="7"/>
      <c r="H44" s="7"/>
      <c r="I44" s="7"/>
      <c r="J44" s="7"/>
      <c r="K44" s="7"/>
      <c r="L44" s="7"/>
      <c r="M44" s="7"/>
      <c r="N44" s="7"/>
      <c r="O44" s="7"/>
      <c r="P44" s="7"/>
      <c r="Q44" s="7"/>
      <c r="R44" s="7"/>
      <c r="S44" s="7"/>
      <c r="T44" s="7"/>
      <c r="U44" s="7"/>
      <c r="V44" s="28"/>
      <c r="W44" s="52"/>
      <c r="X44" s="210" t="str">
        <f>F8</f>
        <v>$/TON</v>
      </c>
      <c r="Y44" s="201"/>
      <c r="Z44" s="232">
        <f>ROUND(Z41/Z43*LOOKUP(1,J28:L30,L28:L30),2)</f>
        <v>1220.25</v>
      </c>
      <c r="AA44" s="233"/>
      <c r="AB44" s="216">
        <f>ROUND(AB41/AB43*LOOKUP(1,J28:L30,L28:L30),2)</f>
        <v>1268.75</v>
      </c>
      <c r="AC44" s="210"/>
      <c r="AD44" s="52"/>
      <c r="AE44" s="52"/>
      <c r="AF44" s="52"/>
      <c r="AG44" s="52"/>
      <c r="AH44" s="52"/>
      <c r="AI44" s="52"/>
      <c r="AJ44" s="68"/>
      <c r="AK44" s="7"/>
      <c r="AL44" s="7"/>
      <c r="AM44" s="15"/>
      <c r="AN44" s="15"/>
      <c r="AO44" s="15"/>
      <c r="AP44" s="15"/>
      <c r="AQ44" s="15"/>
      <c r="AR44" s="15"/>
      <c r="AS44" s="15"/>
      <c r="AT44" s="15"/>
      <c r="AU44" s="15"/>
      <c r="AV44" s="15"/>
      <c r="AW44" s="15"/>
      <c r="AX44" s="15"/>
      <c r="AY44" s="24"/>
      <c r="AZ44" s="7"/>
      <c r="BA44" s="7"/>
      <c r="BB44" s="7"/>
      <c r="BC44" s="7"/>
      <c r="BD44" s="7"/>
      <c r="BE44" s="7"/>
      <c r="BF44" s="7"/>
      <c r="BG44" s="7"/>
      <c r="BH44" s="7"/>
      <c r="BI44" s="7"/>
      <c r="BJ44" s="318"/>
    </row>
    <row r="45" spans="1:62" ht="13.5" hidden="1" x14ac:dyDescent="0.25">
      <c r="A45" s="318"/>
      <c r="B45" s="7"/>
      <c r="C45" s="7"/>
      <c r="D45" s="7"/>
      <c r="E45" s="7"/>
      <c r="F45" s="7"/>
      <c r="G45" s="7"/>
      <c r="H45" s="28"/>
      <c r="I45" s="126"/>
      <c r="J45" s="28"/>
      <c r="K45" s="28"/>
      <c r="L45" s="28"/>
      <c r="M45" s="170"/>
      <c r="N45" s="170"/>
      <c r="O45" s="170"/>
      <c r="P45" s="170"/>
      <c r="Q45" s="170"/>
      <c r="R45" s="170"/>
      <c r="S45" s="170"/>
      <c r="T45" s="28"/>
      <c r="U45" s="28"/>
      <c r="V45" s="28"/>
      <c r="W45" s="7"/>
      <c r="X45" s="7"/>
      <c r="Y45" s="7"/>
      <c r="Z45" s="212">
        <f>M22</f>
        <v>1</v>
      </c>
      <c r="AA45" s="211"/>
      <c r="AB45" s="211"/>
      <c r="AC45" s="211"/>
      <c r="AD45" s="211"/>
      <c r="AE45" s="211"/>
      <c r="AF45" s="211"/>
      <c r="AG45" s="211"/>
      <c r="AH45" s="211"/>
      <c r="AI45" s="211"/>
      <c r="AJ45" s="212">
        <f>M22*(1-AB26)*(AB42/Z42)</f>
        <v>0.86426578332338133</v>
      </c>
      <c r="AK45" s="7"/>
      <c r="AL45" s="7"/>
      <c r="AM45" s="7"/>
      <c r="AN45" s="7"/>
      <c r="AO45" s="125"/>
      <c r="AP45" s="125"/>
      <c r="AQ45" s="125"/>
      <c r="AR45" s="125"/>
      <c r="AS45" s="125"/>
      <c r="AT45" s="125"/>
      <c r="AU45" s="125"/>
      <c r="AV45" s="125"/>
      <c r="AW45" s="125"/>
      <c r="AX45" s="125"/>
      <c r="AY45" s="125"/>
      <c r="AZ45" s="28"/>
      <c r="BA45" s="24"/>
      <c r="BB45" s="24"/>
      <c r="BC45" s="95"/>
      <c r="BD45" s="81"/>
      <c r="BE45" s="24"/>
      <c r="BF45" s="24"/>
      <c r="BG45" s="95"/>
      <c r="BH45" s="81"/>
      <c r="BI45" s="24"/>
      <c r="BJ45" s="318"/>
    </row>
    <row r="46" spans="1:62" ht="13.5" hidden="1" x14ac:dyDescent="0.25">
      <c r="A46" s="318"/>
      <c r="B46" s="7"/>
      <c r="C46" s="7"/>
      <c r="D46" s="7"/>
      <c r="E46" s="300"/>
      <c r="F46" s="300"/>
      <c r="G46" s="7"/>
      <c r="H46" s="96"/>
      <c r="I46" s="126"/>
      <c r="J46" s="15"/>
      <c r="K46" s="15"/>
      <c r="L46" s="15"/>
      <c r="M46" s="70" t="str">
        <f>CONCATENATE(I5," UNIT COST")</f>
        <v>REFERENCE UNIT COST</v>
      </c>
      <c r="N46" s="70"/>
      <c r="O46" s="70"/>
      <c r="P46" s="70"/>
      <c r="Q46" s="70"/>
      <c r="R46" s="70"/>
      <c r="S46" s="70"/>
      <c r="T46" s="169"/>
      <c r="U46" s="91"/>
      <c r="V46" s="300"/>
      <c r="W46" s="97"/>
      <c r="X46" s="70" t="str">
        <f>CONCATENATE(X5," UNIT COST")</f>
        <v>ALTERNATIVE UNIT COST</v>
      </c>
      <c r="Y46" s="70"/>
      <c r="Z46" s="70"/>
      <c r="AA46" s="70"/>
      <c r="AB46" s="70"/>
      <c r="AC46" s="70"/>
      <c r="AD46" s="70"/>
      <c r="AE46" s="70"/>
      <c r="AF46" s="70"/>
      <c r="AG46" s="70"/>
      <c r="AH46" s="70"/>
      <c r="AI46" s="69"/>
      <c r="AJ46" s="91"/>
      <c r="AK46" s="300"/>
      <c r="AL46" s="300"/>
      <c r="AM46" s="69" t="str">
        <f>X46</f>
        <v>ALTERNATIVE UNIT COST</v>
      </c>
      <c r="AN46" s="69"/>
      <c r="AO46" s="180"/>
      <c r="AP46" s="180"/>
      <c r="AQ46" s="180"/>
      <c r="AR46" s="180"/>
      <c r="AS46" s="180"/>
      <c r="AT46" s="180"/>
      <c r="AU46" s="180"/>
      <c r="AV46" s="180"/>
      <c r="AW46" s="180"/>
      <c r="AX46" s="180"/>
      <c r="AY46" s="181"/>
      <c r="AZ46" s="7"/>
      <c r="BA46" s="24"/>
      <c r="BB46" s="24"/>
      <c r="BC46" s="24"/>
      <c r="BD46" s="24"/>
      <c r="BE46" s="24"/>
      <c r="BF46" s="24"/>
      <c r="BG46" s="24"/>
      <c r="BH46" s="24"/>
      <c r="BI46" s="24"/>
      <c r="BJ46" s="318"/>
    </row>
    <row r="47" spans="1:62" ht="13.5" hidden="1" x14ac:dyDescent="0.25">
      <c r="A47" s="318"/>
      <c r="B47" s="7"/>
      <c r="C47" s="7"/>
      <c r="D47" s="7"/>
      <c r="E47" s="300"/>
      <c r="F47" s="300"/>
      <c r="G47" s="7"/>
      <c r="H47" s="7"/>
      <c r="I47" s="126"/>
      <c r="J47" s="101"/>
      <c r="K47" s="101"/>
      <c r="L47" s="101"/>
      <c r="M47" s="18" t="str">
        <f>CONCATENATE(B6," per ",LOOKUP(BA6,BC9:BC32,BG9:BG32))</f>
        <v>$ per sq m</v>
      </c>
      <c r="N47" s="18"/>
      <c r="O47" s="18"/>
      <c r="P47" s="18"/>
      <c r="Q47" s="18"/>
      <c r="R47" s="18"/>
      <c r="S47" s="18"/>
      <c r="T47" s="169"/>
      <c r="U47" s="193">
        <f>IF($C$13&lt;&gt;1,SUMPRODUCT(F9:F18,G9:G18,U9:U18)*U6*V47,SUMPRODUCT(F9:F18,U9:U18)*U6*Z42*V47)</f>
        <v>8.5153345400812722E-2</v>
      </c>
      <c r="V47" s="246">
        <f>LOOKUP(BA6,BC9:BC32,BI9:BI32)</f>
        <v>9.9999999999999995E-7</v>
      </c>
      <c r="W47" s="99"/>
      <c r="X47" s="91" t="str">
        <f>CONCATENATE(B6," per ",LOOKUP(BA6,BC9:BC32,BG9:BG32)," at 100% of VC")</f>
        <v>$ per sq m at 100% of VC</v>
      </c>
      <c r="Y47" s="91"/>
      <c r="Z47" s="91"/>
      <c r="AA47" s="91"/>
      <c r="AB47" s="91"/>
      <c r="AC47" s="91"/>
      <c r="AD47" s="91"/>
      <c r="AE47" s="91"/>
      <c r="AF47" s="91"/>
      <c r="AG47" s="91"/>
      <c r="AH47" s="91"/>
      <c r="AI47" s="92"/>
      <c r="AJ47" s="37">
        <f>IF($C$13&lt;&gt;1,(SUMPRODUCT($F$9:$F$18,$G$9:$G$18,AJ$9:AJ$18)+$G$19*AJ$19*AB33)*AJ$6*AK47,(SUMPRODUCT($F$9:$F$18,AJ$9:AJ$18)+AJ$19*AB33)*AJ$6*AB$42*AK47)</f>
        <v>8.5153345400812722E-2</v>
      </c>
      <c r="AK47" s="246">
        <f>LOOKUP(BA6,BC9:BC32,BI9:BI32)</f>
        <v>9.9999999999999995E-7</v>
      </c>
      <c r="AL47" s="20"/>
      <c r="AM47" s="92" t="str">
        <f>CONCATENATE(B6," per ",LOOKUP(BA6,BC9:BC32,BG9:BG32)," at 100% of VC")</f>
        <v>$ per sq m at 100% of VC</v>
      </c>
      <c r="AN47" s="92"/>
      <c r="AO47" s="184"/>
      <c r="AP47" s="184"/>
      <c r="AQ47" s="184"/>
      <c r="AR47" s="184"/>
      <c r="AS47" s="184"/>
      <c r="AT47" s="184"/>
      <c r="AU47" s="184"/>
      <c r="AV47" s="184"/>
      <c r="AW47" s="184"/>
      <c r="AX47" s="184"/>
      <c r="AY47" s="187">
        <f>IF($C$13&lt;&gt;1,(SUMPRODUCT($F$9:$F$18,$G$9:$G$18,AY$9:AY$18)+$G$19*AY$19*AZ33)*AY$6*AZ47,(SUMPRODUCT($F$9:$F$18,AY$9:AY$18)+AY$19*AZ33)*AY$6*AB$42*AZ47)</f>
        <v>8.5153345400812708E-2</v>
      </c>
      <c r="AZ47" s="6">
        <f>LOOKUP(BA6,BC9:BC32,BI9:BI32)</f>
        <v>9.9999999999999995E-7</v>
      </c>
      <c r="BA47" s="24"/>
      <c r="BB47" s="100"/>
      <c r="BC47" s="24"/>
      <c r="BD47" s="81"/>
      <c r="BE47" s="24"/>
      <c r="BF47" s="24"/>
      <c r="BG47" s="24"/>
      <c r="BH47" s="24"/>
      <c r="BI47" s="24"/>
      <c r="BJ47" s="318"/>
    </row>
    <row r="48" spans="1:62" ht="13.5" hidden="1" x14ac:dyDescent="0.25">
      <c r="A48" s="318"/>
      <c r="B48" s="7"/>
      <c r="C48" s="7"/>
      <c r="D48" s="7"/>
      <c r="E48" s="300"/>
      <c r="F48" s="300"/>
      <c r="G48" s="7"/>
      <c r="H48" s="7"/>
      <c r="I48" s="126"/>
      <c r="J48" s="101"/>
      <c r="K48" s="101"/>
      <c r="L48" s="101"/>
      <c r="M48" s="171"/>
      <c r="N48" s="171"/>
      <c r="O48" s="171"/>
      <c r="P48" s="171"/>
      <c r="Q48" s="171"/>
      <c r="R48" s="171"/>
      <c r="S48" s="171"/>
      <c r="T48" s="101"/>
      <c r="U48" s="102"/>
      <c r="V48" s="20"/>
      <c r="W48" s="99"/>
      <c r="X48" s="91" t="str">
        <f>CONCATENATE(B6," per ",LOOKUP(BA6,BC9:BC32,BG9:BG32)," at 50% of VC")</f>
        <v>$ per sq m at 50% of VC</v>
      </c>
      <c r="Y48" s="91"/>
      <c r="Z48" s="91"/>
      <c r="AA48" s="91"/>
      <c r="AB48" s="91"/>
      <c r="AC48" s="91"/>
      <c r="AD48" s="91"/>
      <c r="AE48" s="91"/>
      <c r="AF48" s="91"/>
      <c r="AG48" s="91"/>
      <c r="AH48" s="91"/>
      <c r="AI48" s="92"/>
      <c r="AJ48" s="37">
        <f>IF($C$13&lt;&gt;1,(SUMPRODUCT($F$9:$F$18,$G$9:$G$18,AJ$9:AJ$18)+$G$19*AJ$19*AB34)*AJ$6*AK48,(SUMPRODUCT($F$9:$F$18,AJ$9:AJ$18)+AJ$19*AB34)*AJ$6*AB$42*AK48)</f>
        <v>7.9366370881257128E-2</v>
      </c>
      <c r="AK48" s="246">
        <f>LOOKUP(BA6,BC9:BC32,BI9:BI32)</f>
        <v>9.9999999999999995E-7</v>
      </c>
      <c r="AL48" s="20"/>
      <c r="AM48" s="92" t="str">
        <f>CONCATENATE(B6," per ",LOOKUP(BA6,BC9:BC32,BG9:BG32)," at 50% of VC")</f>
        <v>$ per sq m at 50% of VC</v>
      </c>
      <c r="AN48" s="92"/>
      <c r="AO48" s="184"/>
      <c r="AP48" s="184"/>
      <c r="AQ48" s="184"/>
      <c r="AR48" s="184"/>
      <c r="AS48" s="184"/>
      <c r="AT48" s="184"/>
      <c r="AU48" s="184"/>
      <c r="AV48" s="184"/>
      <c r="AW48" s="184"/>
      <c r="AX48" s="184"/>
      <c r="AY48" s="187">
        <f>IF($C$13&lt;&gt;1,(SUMPRODUCT($F$9:$F$18,$G$9:$G$18,AY$9:AY$18)+$G$19*AY$19*AZ34)*AY$6*AZ48,(SUMPRODUCT($F$9:$F$18,AY$9:AY$18)+AY$19*AZ34)*AY$6*AB$42*AZ48)</f>
        <v>8.5153345400812708E-2</v>
      </c>
      <c r="AZ48" s="6">
        <f>LOOKUP(BA6,BC9:BC32,BI9:BI32)</f>
        <v>9.9999999999999995E-7</v>
      </c>
      <c r="BA48" s="24"/>
      <c r="BB48" s="100"/>
      <c r="BC48" s="24"/>
      <c r="BD48" s="81"/>
      <c r="BE48" s="24"/>
      <c r="BF48" s="24"/>
      <c r="BG48" s="24"/>
      <c r="BH48" s="24"/>
      <c r="BI48" s="24"/>
      <c r="BJ48" s="318"/>
    </row>
    <row r="49" spans="1:62" ht="13.5" hidden="1" x14ac:dyDescent="0.25">
      <c r="A49" s="318"/>
      <c r="B49" s="7"/>
      <c r="C49" s="103"/>
      <c r="D49" s="103"/>
      <c r="E49" s="300"/>
      <c r="F49" s="300"/>
      <c r="G49" s="7"/>
      <c r="H49" s="7"/>
      <c r="I49" s="126"/>
      <c r="J49" s="89"/>
      <c r="K49" s="89"/>
      <c r="L49" s="89"/>
      <c r="M49" s="39"/>
      <c r="N49" s="39"/>
      <c r="O49" s="39"/>
      <c r="P49" s="39"/>
      <c r="Q49" s="39"/>
      <c r="R49" s="39"/>
      <c r="S49" s="39"/>
      <c r="T49" s="89"/>
      <c r="U49" s="89"/>
      <c r="V49" s="89"/>
      <c r="W49" s="90"/>
      <c r="X49" s="93" t="str">
        <f>CONCATENATE(B6," per ",LOOKUP(BA6,BC9:BC32,BG9:BG32)," at 0% of VC")</f>
        <v>$ per sq m at 0% of VC</v>
      </c>
      <c r="Y49" s="93"/>
      <c r="Z49" s="93"/>
      <c r="AA49" s="93"/>
      <c r="AB49" s="93"/>
      <c r="AC49" s="93"/>
      <c r="AD49" s="93"/>
      <c r="AE49" s="93"/>
      <c r="AF49" s="93"/>
      <c r="AG49" s="93"/>
      <c r="AH49" s="93"/>
      <c r="AI49" s="94"/>
      <c r="AJ49" s="37">
        <f>IF($C$13&lt;&gt;1,(SUMPRODUCT($F$9:$F$18,$G$9:$G$18,AJ$9:AJ$18)+$G$19*AJ$19*AB35)*AJ$6*AK49,(SUMPRODUCT($F$9:$F$18,AJ$9:AJ$18)+AJ$19*AB35)*AJ$6*AB$42*AK49)</f>
        <v>7.3595122765439849E-2</v>
      </c>
      <c r="AK49" s="4">
        <f>LOOKUP(BA6,BC9:BC32,BI9:BI32)</f>
        <v>9.9999999999999995E-7</v>
      </c>
      <c r="AL49" s="89"/>
      <c r="AM49" s="94" t="str">
        <f>CONCATENATE(B6," per ",LOOKUP(BA6,BC9:BC32,BG9:BG32)," at 0% of VC")</f>
        <v>$ per sq m at 0% of VC</v>
      </c>
      <c r="AN49" s="94"/>
      <c r="AO49" s="186"/>
      <c r="AP49" s="186"/>
      <c r="AQ49" s="186"/>
      <c r="AR49" s="186"/>
      <c r="AS49" s="186"/>
      <c r="AT49" s="186"/>
      <c r="AU49" s="186"/>
      <c r="AV49" s="186"/>
      <c r="AW49" s="186"/>
      <c r="AX49" s="186"/>
      <c r="AY49" s="187">
        <f>IF($C$13&lt;&gt;1,(SUMPRODUCT($F$9:$F$18,$G$9:$G$18,AY$9:AY$18)+$G$19*AY$19*AZ35)*AY$6*AZ49,(SUMPRODUCT($F$9:$F$18,AY$9:AY$18)+AY$19*AZ35)*AY$6*AB$42*AZ49)</f>
        <v>8.5153345400812708E-2</v>
      </c>
      <c r="AZ49" s="6">
        <f>LOOKUP(BA6,BC9:BC32,BI9:BI32)</f>
        <v>9.9999999999999995E-7</v>
      </c>
      <c r="BA49" s="24"/>
      <c r="BB49" s="100"/>
      <c r="BC49" s="24"/>
      <c r="BD49" s="81"/>
      <c r="BE49" s="24"/>
      <c r="BF49" s="24"/>
      <c r="BG49" s="24"/>
      <c r="BH49" s="24"/>
      <c r="BI49" s="24"/>
      <c r="BJ49" s="318"/>
    </row>
    <row r="50" spans="1:62" ht="13.5" hidden="1" x14ac:dyDescent="0.25">
      <c r="A50" s="318"/>
      <c r="B50" s="7"/>
      <c r="C50" s="103"/>
      <c r="D50" s="103"/>
      <c r="E50" s="300"/>
      <c r="F50" s="300"/>
      <c r="G50" s="7"/>
      <c r="H50" s="7"/>
      <c r="I50" s="126"/>
      <c r="J50" s="7"/>
      <c r="K50" s="7"/>
      <c r="L50" s="7"/>
      <c r="M50" s="39"/>
      <c r="N50" s="39"/>
      <c r="O50" s="39"/>
      <c r="P50" s="39"/>
      <c r="Q50" s="39"/>
      <c r="R50" s="39"/>
      <c r="S50" s="39"/>
      <c r="T50" s="7"/>
      <c r="U50" s="7"/>
      <c r="V50" s="7"/>
      <c r="W50" s="7"/>
      <c r="X50" s="7"/>
      <c r="Y50" s="7"/>
      <c r="Z50" s="7"/>
      <c r="AA50" s="7"/>
      <c r="AB50" s="7"/>
      <c r="AC50" s="7"/>
      <c r="AD50" s="7"/>
      <c r="AE50" s="7"/>
      <c r="AF50" s="7"/>
      <c r="AG50" s="7"/>
      <c r="AH50" s="7"/>
      <c r="AI50" s="7"/>
      <c r="AJ50" s="7"/>
      <c r="AK50" s="7"/>
      <c r="AL50" s="7"/>
      <c r="AM50" s="7"/>
      <c r="AN50" s="7"/>
      <c r="AO50" s="125"/>
      <c r="AP50" s="125"/>
      <c r="AQ50" s="125"/>
      <c r="AR50" s="125"/>
      <c r="AS50" s="125"/>
      <c r="AT50" s="125"/>
      <c r="AU50" s="125"/>
      <c r="AV50" s="125"/>
      <c r="AW50" s="125"/>
      <c r="AX50" s="125"/>
      <c r="AY50" s="125"/>
      <c r="AZ50" s="28"/>
      <c r="BA50" s="24"/>
      <c r="BB50" s="24"/>
      <c r="BC50" s="24"/>
      <c r="BD50" s="24"/>
      <c r="BE50" s="24"/>
      <c r="BF50" s="24"/>
      <c r="BG50" s="24"/>
      <c r="BH50" s="24"/>
      <c r="BI50" s="24"/>
      <c r="BJ50" s="318"/>
    </row>
    <row r="51" spans="1:62" ht="13.5" hidden="1" x14ac:dyDescent="0.25">
      <c r="A51" s="318"/>
      <c r="B51" s="7"/>
      <c r="C51" s="7"/>
      <c r="D51" s="7"/>
      <c r="E51" s="300"/>
      <c r="F51" s="300"/>
      <c r="G51" s="7"/>
      <c r="H51" s="7"/>
      <c r="I51" s="126"/>
      <c r="J51" s="7"/>
      <c r="K51" s="7"/>
      <c r="L51" s="7"/>
      <c r="M51" s="39"/>
      <c r="N51" s="39"/>
      <c r="O51" s="39"/>
      <c r="P51" s="39"/>
      <c r="Q51" s="39"/>
      <c r="R51" s="39"/>
      <c r="S51" s="39"/>
      <c r="T51" s="7"/>
      <c r="U51" s="7"/>
      <c r="V51" s="7"/>
      <c r="W51" s="7"/>
      <c r="X51" s="70" t="str">
        <f>CONCATENATE(B6," per ",LOOKUP(BA6,BC9:BC32,BG9:BG32)," CREATED vs. ",I5)</f>
        <v>$ per sq m CREATED vs. REFERENCE</v>
      </c>
      <c r="Y51" s="70"/>
      <c r="Z51" s="70"/>
      <c r="AA51" s="70"/>
      <c r="AB51" s="70"/>
      <c r="AC51" s="70"/>
      <c r="AD51" s="70"/>
      <c r="AE51" s="70"/>
      <c r="AF51" s="70"/>
      <c r="AG51" s="70"/>
      <c r="AH51" s="70"/>
      <c r="AI51" s="69"/>
      <c r="AJ51" s="91"/>
      <c r="AK51" s="7"/>
      <c r="AL51" s="7"/>
      <c r="AM51" s="69" t="str">
        <f>CONCATENATE(B6," per ",LOOKUP(BA6,BC9:BC32,BG9:BG32)," CREATED vs. ",I5)</f>
        <v>$ per sq m CREATED vs. REFERENCE</v>
      </c>
      <c r="AN51" s="69"/>
      <c r="AO51" s="180"/>
      <c r="AP51" s="180"/>
      <c r="AQ51" s="180"/>
      <c r="AR51" s="180"/>
      <c r="AS51" s="180"/>
      <c r="AT51" s="180"/>
      <c r="AU51" s="180"/>
      <c r="AV51" s="180"/>
      <c r="AW51" s="180"/>
      <c r="AX51" s="180"/>
      <c r="AY51" s="181"/>
      <c r="AZ51" s="28"/>
      <c r="BA51" s="24"/>
      <c r="BB51" s="24"/>
      <c r="BC51" s="24"/>
      <c r="BD51" s="24"/>
      <c r="BE51" s="24"/>
      <c r="BF51" s="24"/>
      <c r="BG51" s="24"/>
      <c r="BH51" s="24"/>
      <c r="BI51" s="24"/>
      <c r="BJ51" s="318"/>
    </row>
    <row r="52" spans="1:62" ht="13.5" hidden="1" x14ac:dyDescent="0.25">
      <c r="A52" s="318"/>
      <c r="B52" s="7"/>
      <c r="C52" s="7"/>
      <c r="D52" s="7"/>
      <c r="E52" s="300"/>
      <c r="F52" s="300"/>
      <c r="G52" s="7"/>
      <c r="H52" s="7"/>
      <c r="I52" s="126"/>
      <c r="J52" s="7"/>
      <c r="K52" s="7"/>
      <c r="L52" s="7"/>
      <c r="M52" s="39"/>
      <c r="N52" s="39"/>
      <c r="O52" s="39"/>
      <c r="P52" s="39"/>
      <c r="Q52" s="39"/>
      <c r="R52" s="39"/>
      <c r="S52" s="39"/>
      <c r="T52" s="7"/>
      <c r="U52" s="7"/>
      <c r="V52" s="7"/>
      <c r="W52" s="7"/>
      <c r="X52" s="91" t="s">
        <v>48</v>
      </c>
      <c r="Y52" s="91"/>
      <c r="Z52" s="91"/>
      <c r="AA52" s="91"/>
      <c r="AB52" s="91"/>
      <c r="AC52" s="91"/>
      <c r="AD52" s="91"/>
      <c r="AE52" s="91"/>
      <c r="AF52" s="91"/>
      <c r="AG52" s="91"/>
      <c r="AH52" s="91"/>
      <c r="AI52" s="92"/>
      <c r="AJ52" s="37">
        <f>ABS($AJ47-AJ47)</f>
        <v>0</v>
      </c>
      <c r="AK52" s="7"/>
      <c r="AL52" s="7"/>
      <c r="AM52" s="92" t="s">
        <v>48</v>
      </c>
      <c r="AN52" s="92"/>
      <c r="AO52" s="184"/>
      <c r="AP52" s="184"/>
      <c r="AQ52" s="184"/>
      <c r="AR52" s="184"/>
      <c r="AS52" s="184"/>
      <c r="AT52" s="184"/>
      <c r="AU52" s="184"/>
      <c r="AV52" s="184"/>
      <c r="AW52" s="184"/>
      <c r="AX52" s="184"/>
      <c r="AY52" s="187">
        <f>AY$47-AY47</f>
        <v>0</v>
      </c>
      <c r="AZ52" s="28"/>
      <c r="BA52" s="24"/>
      <c r="BB52" s="24"/>
      <c r="BC52" s="24"/>
      <c r="BD52" s="24"/>
      <c r="BE52" s="24"/>
      <c r="BF52" s="24"/>
      <c r="BG52" s="24"/>
      <c r="BH52" s="24"/>
      <c r="BI52" s="24"/>
      <c r="BJ52" s="318"/>
    </row>
    <row r="53" spans="1:62" ht="13.5" hidden="1" x14ac:dyDescent="0.25">
      <c r="A53" s="318"/>
      <c r="B53" s="7"/>
      <c r="C53" s="7"/>
      <c r="D53" s="7"/>
      <c r="E53" s="300"/>
      <c r="F53" s="300"/>
      <c r="G53" s="7"/>
      <c r="H53" s="7"/>
      <c r="I53" s="126"/>
      <c r="J53" s="7"/>
      <c r="K53" s="7"/>
      <c r="L53" s="7"/>
      <c r="M53" s="39"/>
      <c r="N53" s="39"/>
      <c r="O53" s="39"/>
      <c r="P53" s="39"/>
      <c r="Q53" s="39"/>
      <c r="R53" s="39"/>
      <c r="S53" s="39"/>
      <c r="T53" s="7"/>
      <c r="U53" s="7"/>
      <c r="V53" s="7"/>
      <c r="W53" s="7"/>
      <c r="X53" s="91" t="s">
        <v>49</v>
      </c>
      <c r="Y53" s="91"/>
      <c r="Z53" s="91"/>
      <c r="AA53" s="91"/>
      <c r="AB53" s="91"/>
      <c r="AC53" s="91"/>
      <c r="AD53" s="91"/>
      <c r="AE53" s="91"/>
      <c r="AF53" s="91"/>
      <c r="AG53" s="91"/>
      <c r="AH53" s="91"/>
      <c r="AI53" s="92"/>
      <c r="AJ53" s="37">
        <f>AVERAGE(AJ54,AJ52)</f>
        <v>5.7791113176864362E-3</v>
      </c>
      <c r="AK53" s="7"/>
      <c r="AL53" s="7"/>
      <c r="AM53" s="92" t="s">
        <v>49</v>
      </c>
      <c r="AN53" s="92"/>
      <c r="AO53" s="184"/>
      <c r="AP53" s="184"/>
      <c r="AQ53" s="184"/>
      <c r="AR53" s="184"/>
      <c r="AS53" s="184"/>
      <c r="AT53" s="184"/>
      <c r="AU53" s="184"/>
      <c r="AV53" s="184"/>
      <c r="AW53" s="184"/>
      <c r="AX53" s="184"/>
      <c r="AY53" s="187">
        <f>AY$47-AY48</f>
        <v>0</v>
      </c>
      <c r="AZ53" s="28"/>
      <c r="BA53" s="24"/>
      <c r="BB53" s="24"/>
      <c r="BC53" s="24"/>
      <c r="BD53" s="104"/>
      <c r="BE53" s="24"/>
      <c r="BF53" s="24"/>
      <c r="BG53" s="24"/>
      <c r="BH53" s="24"/>
      <c r="BI53" s="24"/>
      <c r="BJ53" s="318"/>
    </row>
    <row r="54" spans="1:62" ht="13.5" hidden="1" x14ac:dyDescent="0.25">
      <c r="A54" s="318"/>
      <c r="B54" s="7"/>
      <c r="C54" s="7"/>
      <c r="D54" s="7"/>
      <c r="E54" s="300"/>
      <c r="F54" s="300"/>
      <c r="G54" s="7"/>
      <c r="H54" s="7"/>
      <c r="I54" s="126"/>
      <c r="J54" s="7"/>
      <c r="K54" s="7"/>
      <c r="L54" s="7"/>
      <c r="M54" s="39"/>
      <c r="N54" s="39"/>
      <c r="O54" s="39"/>
      <c r="P54" s="39"/>
      <c r="Q54" s="39"/>
      <c r="R54" s="39"/>
      <c r="S54" s="39"/>
      <c r="T54" s="7"/>
      <c r="U54" s="7"/>
      <c r="V54" s="7"/>
      <c r="W54" s="7"/>
      <c r="X54" s="93" t="s">
        <v>50</v>
      </c>
      <c r="Y54" s="93"/>
      <c r="Z54" s="93"/>
      <c r="AA54" s="93"/>
      <c r="AB54" s="93"/>
      <c r="AC54" s="93"/>
      <c r="AD54" s="93"/>
      <c r="AE54" s="93"/>
      <c r="AF54" s="93"/>
      <c r="AG54" s="93"/>
      <c r="AH54" s="93"/>
      <c r="AI54" s="94"/>
      <c r="AJ54" s="37">
        <f>ABS($AJ47-AJ49)</f>
        <v>1.1558222635372872E-2</v>
      </c>
      <c r="AK54" s="7"/>
      <c r="AL54" s="7"/>
      <c r="AM54" s="94" t="s">
        <v>50</v>
      </c>
      <c r="AN54" s="94"/>
      <c r="AO54" s="186"/>
      <c r="AP54" s="186"/>
      <c r="AQ54" s="186"/>
      <c r="AR54" s="186"/>
      <c r="AS54" s="186"/>
      <c r="AT54" s="186"/>
      <c r="AU54" s="186"/>
      <c r="AV54" s="186"/>
      <c r="AW54" s="186"/>
      <c r="AX54" s="186"/>
      <c r="AY54" s="187">
        <f>AY$47-AY49</f>
        <v>0</v>
      </c>
      <c r="AZ54" s="28"/>
      <c r="BA54" s="24"/>
      <c r="BB54" s="24"/>
      <c r="BC54" s="24"/>
      <c r="BD54" s="24"/>
      <c r="BE54" s="24"/>
      <c r="BF54" s="24"/>
      <c r="BG54" s="24"/>
      <c r="BH54" s="24"/>
      <c r="BI54" s="24"/>
      <c r="BJ54" s="318"/>
    </row>
    <row r="55" spans="1:62" ht="3" customHeight="1" x14ac:dyDescent="0.25">
      <c r="A55" s="10"/>
      <c r="B55" s="1"/>
      <c r="C55" s="1"/>
      <c r="D55" s="105"/>
      <c r="E55" s="105"/>
      <c r="F55" s="105"/>
      <c r="G55" s="105"/>
      <c r="H55" s="11"/>
      <c r="I55" s="11"/>
      <c r="J55" s="11"/>
      <c r="K55" s="11"/>
      <c r="L55" s="11"/>
      <c r="M55" s="11"/>
      <c r="N55" s="11"/>
      <c r="O55" s="11"/>
      <c r="P55" s="11"/>
      <c r="Q55" s="11"/>
      <c r="R55" s="11"/>
      <c r="S55" s="11"/>
      <c r="T55" s="11"/>
      <c r="U55" s="11"/>
      <c r="V55" s="7"/>
      <c r="W55" s="11"/>
      <c r="X55" s="11"/>
      <c r="Y55" s="11"/>
      <c r="Z55" s="11"/>
      <c r="AA55" s="11"/>
      <c r="AB55" s="11"/>
      <c r="AC55" s="11"/>
      <c r="AD55" s="11"/>
      <c r="AE55" s="11"/>
      <c r="AF55" s="11"/>
      <c r="AG55" s="11"/>
      <c r="AH55" s="11"/>
      <c r="AI55" s="11"/>
      <c r="AJ55" s="11"/>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11"/>
    </row>
    <row r="56" spans="1:62" ht="15.75" x14ac:dyDescent="0.2">
      <c r="A56" s="241" t="s">
        <v>98</v>
      </c>
      <c r="B56" s="242"/>
      <c r="C56" s="8"/>
      <c r="D56" s="8"/>
      <c r="E56" s="8"/>
      <c r="F56" s="8"/>
      <c r="G56" s="8"/>
      <c r="H56" s="8"/>
      <c r="I56" s="8"/>
      <c r="J56" s="8"/>
      <c r="K56" s="8"/>
      <c r="L56" s="8"/>
      <c r="M56" s="8"/>
      <c r="N56" s="8"/>
      <c r="O56" s="8"/>
      <c r="P56" s="8"/>
      <c r="Q56" s="8"/>
      <c r="R56" s="8"/>
      <c r="S56" s="8"/>
      <c r="T56" s="8"/>
      <c r="U56" s="8"/>
      <c r="V56" s="8"/>
      <c r="W56" s="243"/>
      <c r="X56" s="8"/>
      <c r="Y56" s="8"/>
      <c r="Z56" s="8"/>
      <c r="AA56" s="8"/>
      <c r="AB56" s="8"/>
      <c r="AC56" s="8"/>
      <c r="AD56" s="8"/>
      <c r="AE56" s="8"/>
      <c r="AF56" s="8"/>
      <c r="AG56" s="8"/>
      <c r="AH56" s="8"/>
      <c r="AI56" s="8"/>
      <c r="AJ56" s="8"/>
      <c r="AK56" s="227"/>
      <c r="AL56" s="227"/>
      <c r="AM56" s="227"/>
      <c r="AN56" s="227"/>
      <c r="AO56" s="8"/>
      <c r="AP56" s="8"/>
      <c r="AQ56" s="8"/>
      <c r="AR56" s="8"/>
      <c r="AS56" s="8"/>
      <c r="AT56" s="8"/>
      <c r="AU56" s="8"/>
      <c r="AV56" s="8"/>
      <c r="AW56" s="8"/>
      <c r="AX56" s="8"/>
      <c r="AY56" s="8"/>
      <c r="AZ56" s="8"/>
      <c r="BA56" s="8"/>
      <c r="BB56" s="8"/>
      <c r="BC56" s="8"/>
      <c r="BD56" s="8"/>
      <c r="BE56" s="8"/>
      <c r="BF56" s="8"/>
      <c r="BG56" s="8"/>
      <c r="BH56" s="8"/>
      <c r="BI56" s="8"/>
      <c r="BJ56" s="8"/>
    </row>
    <row r="57" spans="1:62" ht="3" customHeight="1" x14ac:dyDescent="0.25">
      <c r="A57" s="106"/>
      <c r="B57" s="107"/>
      <c r="C57" s="107"/>
      <c r="D57" s="107"/>
      <c r="E57" s="107"/>
      <c r="F57" s="107"/>
      <c r="G57" s="107"/>
      <c r="H57" s="108"/>
      <c r="I57" s="107"/>
      <c r="J57" s="107"/>
      <c r="K57" s="107"/>
      <c r="L57" s="107"/>
      <c r="M57" s="107"/>
      <c r="N57" s="107"/>
      <c r="O57" s="107"/>
      <c r="P57" s="107"/>
      <c r="Q57" s="107"/>
      <c r="R57" s="107"/>
      <c r="S57" s="107"/>
      <c r="T57" s="107"/>
      <c r="U57" s="107"/>
      <c r="V57" s="7"/>
      <c r="W57" s="107"/>
      <c r="X57" s="107"/>
      <c r="Y57" s="107"/>
      <c r="Z57" s="107"/>
      <c r="AA57" s="107"/>
      <c r="AB57" s="107"/>
      <c r="AC57" s="107"/>
      <c r="AD57" s="107"/>
      <c r="AE57" s="107"/>
      <c r="AF57" s="107"/>
      <c r="AG57" s="107"/>
      <c r="AH57" s="107"/>
      <c r="AI57" s="107"/>
      <c r="AJ57" s="107"/>
      <c r="AK57" s="7"/>
      <c r="AL57" s="7"/>
      <c r="AM57" s="7"/>
      <c r="AN57" s="7"/>
      <c r="AO57" s="7"/>
      <c r="AP57" s="7"/>
      <c r="AQ57" s="7"/>
      <c r="AR57" s="7"/>
      <c r="AS57" s="7"/>
      <c r="AT57" s="7"/>
      <c r="AU57" s="7"/>
      <c r="AV57" s="7"/>
      <c r="AW57" s="7"/>
      <c r="AX57" s="7"/>
      <c r="AY57" s="7"/>
      <c r="AZ57" s="90"/>
      <c r="BA57" s="99"/>
      <c r="BB57" s="99"/>
      <c r="BC57" s="99"/>
      <c r="BD57" s="99"/>
      <c r="BE57" s="99"/>
      <c r="BF57" s="99"/>
      <c r="BG57" s="99"/>
      <c r="BH57" s="99"/>
      <c r="BI57" s="99"/>
      <c r="BJ57" s="108"/>
    </row>
    <row r="58" spans="1:62" ht="13.5" x14ac:dyDescent="0.25">
      <c r="A58" s="313" t="s">
        <v>61</v>
      </c>
      <c r="B58" s="109" t="str">
        <f>CONCATENATE("POTENTIAL ",M105," BENEFITS of ",X5,"  vs. ",I5)</f>
        <v>POTENTIAL M$ pa BENEFITS of ALTERNATIVE  vs. REFERENCE</v>
      </c>
      <c r="C58" s="111"/>
      <c r="D58" s="110"/>
      <c r="E58" s="110"/>
      <c r="F58" s="110"/>
      <c r="G58" s="110"/>
      <c r="H58" s="111"/>
      <c r="I58" s="111"/>
      <c r="J58" s="112"/>
      <c r="K58" s="113"/>
      <c r="L58" s="113"/>
      <c r="M58" s="110"/>
      <c r="N58" s="110"/>
      <c r="O58" s="110"/>
      <c r="P58" s="110"/>
      <c r="Q58" s="110"/>
      <c r="R58" s="110"/>
      <c r="S58" s="110"/>
      <c r="T58" s="110"/>
      <c r="U58" s="110"/>
      <c r="V58" s="99"/>
      <c r="W58" s="114" t="str">
        <f>CONCATENATE("POTENTIAL ",M105," BENEFITS of ",X5,"  vs. ",I5)</f>
        <v>POTENTIAL M$ pa BENEFITS of ALTERNATIVE  vs. REFERENCE</v>
      </c>
      <c r="X58" s="114"/>
      <c r="Y58" s="114"/>
      <c r="Z58" s="114"/>
      <c r="AA58" s="114"/>
      <c r="AB58" s="114"/>
      <c r="AC58" s="114"/>
      <c r="AD58" s="114"/>
      <c r="AE58" s="114"/>
      <c r="AF58" s="114"/>
      <c r="AG58" s="114"/>
      <c r="AH58" s="114"/>
      <c r="AI58" s="114"/>
      <c r="AJ58" s="114"/>
      <c r="AK58" s="115"/>
      <c r="AL58" s="7"/>
      <c r="AM58" s="115"/>
      <c r="AN58" s="115"/>
      <c r="AO58" s="115"/>
      <c r="AP58" s="115"/>
      <c r="AQ58" s="115"/>
      <c r="AR58" s="115"/>
      <c r="AS58" s="115"/>
      <c r="AT58" s="115"/>
      <c r="AU58" s="115"/>
      <c r="AV58" s="115"/>
      <c r="AW58" s="115"/>
      <c r="AX58" s="115"/>
      <c r="AY58" s="115"/>
      <c r="AZ58" s="20"/>
      <c r="BA58" s="7"/>
      <c r="BB58" s="7"/>
      <c r="BC58" s="7"/>
      <c r="BD58" s="7"/>
      <c r="BE58" s="7"/>
      <c r="BF58" s="7"/>
      <c r="BG58" s="7"/>
      <c r="BH58" s="7"/>
      <c r="BI58" s="7"/>
      <c r="BJ58" s="313" t="s">
        <v>61</v>
      </c>
    </row>
    <row r="59" spans="1:62" ht="3" customHeight="1" x14ac:dyDescent="0.25">
      <c r="A59" s="314"/>
      <c r="B59" s="107"/>
      <c r="C59" s="116"/>
      <c r="D59" s="116"/>
      <c r="E59" s="116"/>
      <c r="F59" s="116"/>
      <c r="G59" s="116"/>
      <c r="H59" s="116"/>
      <c r="I59" s="116"/>
      <c r="J59" s="116"/>
      <c r="K59" s="116"/>
      <c r="L59" s="108"/>
      <c r="M59" s="116"/>
      <c r="N59" s="116"/>
      <c r="O59" s="116"/>
      <c r="P59" s="116"/>
      <c r="Q59" s="116"/>
      <c r="R59" s="116"/>
      <c r="S59" s="116"/>
      <c r="T59" s="116"/>
      <c r="U59" s="116"/>
      <c r="V59" s="99"/>
      <c r="W59" s="108"/>
      <c r="X59" s="108"/>
      <c r="Y59" s="108"/>
      <c r="Z59" s="108"/>
      <c r="AA59" s="108"/>
      <c r="AB59" s="108"/>
      <c r="AC59" s="108"/>
      <c r="AD59" s="108"/>
      <c r="AE59" s="108"/>
      <c r="AF59" s="108"/>
      <c r="AG59" s="108"/>
      <c r="AH59" s="108"/>
      <c r="AI59" s="108"/>
      <c r="AJ59" s="108"/>
      <c r="AK59" s="99"/>
      <c r="AL59" s="7"/>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314"/>
    </row>
    <row r="60" spans="1:62" ht="13.5" x14ac:dyDescent="0.25">
      <c r="A60" s="314"/>
      <c r="B60" s="194" t="str">
        <f>CONCATENATE("CONVERTER SELLS @ CONSTANT ",F8)</f>
        <v>CONVERTER SELLS @ CONSTANT $/TON</v>
      </c>
      <c r="C60" s="117"/>
      <c r="D60" s="117"/>
      <c r="E60" s="118"/>
      <c r="F60" s="111"/>
      <c r="G60" s="111"/>
      <c r="H60" s="119"/>
      <c r="I60" s="120" t="s">
        <v>96</v>
      </c>
      <c r="J60" s="121">
        <f>ROUND(M24,2)</f>
        <v>1586.33</v>
      </c>
      <c r="K60" s="229" t="str">
        <f>CONCATENATE(F8," =")</f>
        <v>$/TON =</v>
      </c>
      <c r="L60" s="121">
        <f>ROUND(Z41*(M24/Z44)*(1-AB26)*(AB42/Z42),3)</f>
        <v>95.674000000000007</v>
      </c>
      <c r="M60" s="235" t="str">
        <f>X41</f>
        <v>$ per 1000 sq m</v>
      </c>
      <c r="N60" s="235"/>
      <c r="O60" s="116"/>
      <c r="P60" s="116"/>
      <c r="Q60" s="116"/>
      <c r="R60" s="116"/>
      <c r="S60" s="116"/>
      <c r="T60" s="116"/>
      <c r="U60" s="219"/>
      <c r="V60" s="220"/>
      <c r="W60" s="221"/>
      <c r="X60" s="221" t="str">
        <f>B62</f>
        <v>CONVERTER BENEFITS - ON 1KT BUSINESS</v>
      </c>
      <c r="Y60" s="222" t="str">
        <f>B69</f>
        <v>DOWNSTREAM PLAYERS BENEFITS - BUYING SAME sq m</v>
      </c>
      <c r="Z60" s="245"/>
      <c r="AA60" s="222"/>
      <c r="AB60" s="222"/>
      <c r="AC60" s="222"/>
      <c r="AD60" s="222"/>
      <c r="AE60" s="222"/>
      <c r="AF60" s="123"/>
      <c r="AG60" s="123"/>
      <c r="AH60" s="123"/>
      <c r="AI60" s="123"/>
      <c r="AJ60" s="123"/>
      <c r="AK60" s="7"/>
      <c r="AL60" s="7"/>
      <c r="AM60" s="7"/>
      <c r="AN60" s="7"/>
      <c r="AO60" s="124"/>
      <c r="AP60" s="124"/>
      <c r="AQ60" s="124"/>
      <c r="AR60" s="124"/>
      <c r="AS60" s="124"/>
      <c r="AT60" s="124"/>
      <c r="AU60" s="124"/>
      <c r="AV60" s="124"/>
      <c r="AW60" s="124"/>
      <c r="AX60" s="124"/>
      <c r="AY60" s="124"/>
      <c r="AZ60" s="7"/>
      <c r="BA60" s="126"/>
      <c r="BB60" s="126"/>
      <c r="BC60" s="126"/>
      <c r="BD60" s="126"/>
      <c r="BE60" s="126"/>
      <c r="BF60" s="126"/>
      <c r="BG60" s="126"/>
      <c r="BH60" s="126"/>
      <c r="BI60" s="126"/>
      <c r="BJ60" s="314"/>
    </row>
    <row r="61" spans="1:62" ht="13.5" x14ac:dyDescent="0.25">
      <c r="A61" s="314"/>
      <c r="B61" s="83"/>
      <c r="C61" s="53"/>
      <c r="D61" s="53"/>
      <c r="E61" s="53"/>
      <c r="F61" s="53"/>
      <c r="G61" s="53"/>
      <c r="H61" s="83"/>
      <c r="I61" s="53"/>
      <c r="J61" s="129"/>
      <c r="K61" s="129"/>
      <c r="L61" s="130"/>
      <c r="M61" s="53"/>
      <c r="N61" s="158"/>
      <c r="O61" s="116"/>
      <c r="P61" s="116"/>
      <c r="Q61" s="116"/>
      <c r="R61" s="116"/>
      <c r="S61" s="116"/>
      <c r="T61" s="116"/>
      <c r="U61" s="219"/>
      <c r="V61" s="220"/>
      <c r="W61" s="223" t="str">
        <f>CONCATENATE(C107,B60," (",J60," ",K60," ",L60,M60,")")</f>
        <v>CONVERTER SELLS @ CONSTANT $/TON (1586.33 $/TON = 95.674$ per 1000 sq m)</v>
      </c>
      <c r="X61" s="224">
        <f>L67</f>
        <v>-5.3161643800000005E-2</v>
      </c>
      <c r="Y61" s="225">
        <f>L73</f>
        <v>0.23299999999999998</v>
      </c>
      <c r="Z61" s="245"/>
      <c r="AA61" s="222"/>
      <c r="AB61" s="222"/>
      <c r="AC61" s="222"/>
      <c r="AD61" s="222"/>
      <c r="AE61" s="222"/>
      <c r="AF61" s="123"/>
      <c r="AG61" s="123"/>
      <c r="AH61" s="123"/>
      <c r="AI61" s="123"/>
      <c r="AJ61" s="123"/>
      <c r="AK61" s="7"/>
      <c r="AL61" s="7"/>
      <c r="AM61" s="228"/>
      <c r="AN61" s="228"/>
      <c r="AO61" s="124"/>
      <c r="AP61" s="124"/>
      <c r="AQ61" s="124"/>
      <c r="AR61" s="124"/>
      <c r="AS61" s="124"/>
      <c r="AT61" s="124"/>
      <c r="AU61" s="124"/>
      <c r="AV61" s="124"/>
      <c r="AW61" s="124"/>
      <c r="AX61" s="124"/>
      <c r="AY61" s="124"/>
      <c r="AZ61" s="7"/>
      <c r="BA61" s="126"/>
      <c r="BB61" s="126"/>
      <c r="BC61" s="126"/>
      <c r="BD61" s="126"/>
      <c r="BE61" s="126"/>
      <c r="BF61" s="126"/>
      <c r="BG61" s="126"/>
      <c r="BH61" s="126"/>
      <c r="BI61" s="126"/>
      <c r="BJ61" s="314"/>
    </row>
    <row r="62" spans="1:62" ht="13.5" x14ac:dyDescent="0.25">
      <c r="A62" s="314"/>
      <c r="B62" s="131" t="str">
        <f>CONCATENATE("CONVERTER BENEFITS - ON ",ROUND(AB23,2),N22," BUSINESS")</f>
        <v>CONVERTER BENEFITS - ON 1KT BUSINESS</v>
      </c>
      <c r="C62" s="53"/>
      <c r="D62" s="53"/>
      <c r="E62" s="53"/>
      <c r="F62" s="53"/>
      <c r="G62" s="53"/>
      <c r="H62" s="83"/>
      <c r="I62" s="53"/>
      <c r="J62" s="129"/>
      <c r="K62" s="129"/>
      <c r="L62" s="53"/>
      <c r="O62" s="116"/>
      <c r="P62" s="116"/>
      <c r="Q62" s="116"/>
      <c r="R62" s="116"/>
      <c r="S62" s="116"/>
      <c r="T62" s="116"/>
      <c r="U62" s="219"/>
      <c r="V62" s="220"/>
      <c r="W62" s="223" t="str">
        <f>CONCATENATE(C107,B76," (",J76," ",K76," ",L76,M76,")")</f>
        <v>CONVERTER SELLS @ CONSTANT $ per 1000 sq m (110.699 $ per 1000 sq m = 1835.47$/TON)</v>
      </c>
      <c r="X62" s="224">
        <f>L83</f>
        <v>0.19583835620000001</v>
      </c>
      <c r="Y62" s="225">
        <f>L89</f>
        <v>0</v>
      </c>
      <c r="Z62" s="245"/>
      <c r="AA62" s="222"/>
      <c r="AB62" s="222"/>
      <c r="AC62" s="222"/>
      <c r="AD62" s="222"/>
      <c r="AE62" s="222"/>
      <c r="AF62" s="123"/>
      <c r="AG62" s="123"/>
      <c r="AH62" s="123"/>
      <c r="AI62" s="123"/>
      <c r="AJ62" s="123"/>
      <c r="AK62" s="7"/>
      <c r="AL62" s="7"/>
      <c r="AM62" s="228"/>
      <c r="AN62" s="228"/>
      <c r="AO62" s="124"/>
      <c r="AP62" s="124"/>
      <c r="AQ62" s="124"/>
      <c r="AR62" s="124"/>
      <c r="AS62" s="124"/>
      <c r="AT62" s="124"/>
      <c r="AU62" s="124"/>
      <c r="AV62" s="124"/>
      <c r="AW62" s="124"/>
      <c r="AX62" s="124"/>
      <c r="AY62" s="124"/>
      <c r="AZ62" s="7"/>
      <c r="BA62" s="126"/>
      <c r="BB62" s="126"/>
      <c r="BC62" s="126"/>
      <c r="BD62" s="126"/>
      <c r="BE62" s="126"/>
      <c r="BF62" s="126"/>
      <c r="BG62" s="126"/>
      <c r="BH62" s="126"/>
      <c r="BI62" s="126"/>
      <c r="BJ62" s="314"/>
    </row>
    <row r="63" spans="1:62" ht="13.5" x14ac:dyDescent="0.25">
      <c r="A63" s="314"/>
      <c r="B63" s="53" t="s">
        <v>57</v>
      </c>
      <c r="C63" s="53"/>
      <c r="D63" s="53"/>
      <c r="E63" s="162">
        <f>(AB23*J60)/(M22*J60)-1</f>
        <v>0</v>
      </c>
      <c r="F63" s="168" t="str">
        <f>IF(L63&lt;&gt;0,IF(L63&lt;0,"DECREASE","INCREASE"),"UNCHANGED")</f>
        <v>UNCHANGED</v>
      </c>
      <c r="G63" s="12"/>
      <c r="H63" s="83"/>
      <c r="I63" s="53"/>
      <c r="J63" s="129"/>
      <c r="K63" s="132" t="str">
        <f>CONCATENATE("( ",ROUND(AJ45,2),N22," + ",ROUND((AB23-AJ45),2),N22," ) * ",ROUND(J60,2),X44," - ",Z45,N22," * ",ROUND(J60,2),X44," =")</f>
        <v>( 0.86KT + 0.14KT ) * 1586.33$/TON - 1KT * 1586.33$/TON =</v>
      </c>
      <c r="L63" s="133">
        <f>ROUND((AB23*J60-M22*J60)/LOOKUP(1,J28:J30,L28:L30),3)</f>
        <v>0</v>
      </c>
      <c r="M63" s="158" t="str">
        <f>CONCATENATE(LOOKUP(1,J28:J30,M28:M30)," pa")</f>
        <v>M$ pa</v>
      </c>
      <c r="N63" s="161" t="str">
        <f>IF(L63&lt;&gt;0,IF(L63&lt;0,"LOSS","GAIN"),"")</f>
        <v/>
      </c>
      <c r="O63" s="116"/>
      <c r="P63" s="116"/>
      <c r="Q63" s="116"/>
      <c r="R63" s="116"/>
      <c r="S63" s="116"/>
      <c r="T63" s="116"/>
      <c r="U63" s="219"/>
      <c r="V63" s="220"/>
      <c r="W63" s="223" t="str">
        <f>CONCATENATE(C107,B92," (",J92," ",K92," ",L92,M92,")")</f>
        <v>CONVERTER SELLS @ TARGET PRICE (1725 $/TON = 104.037$ per 1000 sq m)</v>
      </c>
      <c r="X63" s="224">
        <f>L99</f>
        <v>8.5838356200000007E-2</v>
      </c>
      <c r="Y63" s="225">
        <f>L105</f>
        <v>0.10306849315068493</v>
      </c>
      <c r="Z63" s="245"/>
      <c r="AA63" s="222"/>
      <c r="AB63" s="222"/>
      <c r="AC63" s="222"/>
      <c r="AD63" s="222"/>
      <c r="AE63" s="222"/>
      <c r="AF63" s="123"/>
      <c r="AG63" s="123"/>
      <c r="AH63" s="123"/>
      <c r="AI63" s="123"/>
      <c r="AJ63" s="123"/>
      <c r="AK63" s="7"/>
      <c r="AL63" s="7"/>
      <c r="AM63" s="228"/>
      <c r="AN63" s="228"/>
      <c r="AO63" s="124"/>
      <c r="AP63" s="124"/>
      <c r="AQ63" s="124"/>
      <c r="AR63" s="124"/>
      <c r="AS63" s="124"/>
      <c r="AT63" s="124"/>
      <c r="AU63" s="124"/>
      <c r="AV63" s="124"/>
      <c r="AW63" s="124"/>
      <c r="AX63" s="124"/>
      <c r="AY63" s="124"/>
      <c r="AZ63" s="7"/>
      <c r="BA63" s="126"/>
      <c r="BB63" s="126"/>
      <c r="BC63" s="126"/>
      <c r="BD63" s="126"/>
      <c r="BE63" s="126"/>
      <c r="BF63" s="126"/>
      <c r="BG63" s="126"/>
      <c r="BH63" s="126"/>
      <c r="BI63" s="126"/>
      <c r="BJ63" s="314"/>
    </row>
    <row r="64" spans="1:62" ht="13.5" x14ac:dyDescent="0.25">
      <c r="A64" s="314"/>
      <c r="B64" s="53" t="s">
        <v>55</v>
      </c>
      <c r="C64" s="53"/>
      <c r="D64" s="53"/>
      <c r="E64" s="162">
        <f>(AB23*AB44)/(M22*Z44)-1</f>
        <v>3.9745953698012704E-2</v>
      </c>
      <c r="F64" s="168" t="str">
        <f>IF(L64&lt;&gt;0,IF(L64&lt;0,"INCREASE","DECREASE"),"UNCHANGED")</f>
        <v>INCREASE</v>
      </c>
      <c r="G64" s="12"/>
      <c r="H64" s="83"/>
      <c r="I64" s="53"/>
      <c r="J64" s="128"/>
      <c r="K64" s="132" t="str">
        <f>CONCATENATE(ROUND(Z45,2),N22," * ",ROUND(Z44,2),X44," - ","( ",ROUND(AJ45,2),N22," + ",ROUND((AB23-AJ45),2),N22," ) * ",ROUND(AB44,2),X44," =")</f>
        <v>1KT * 1220.25$/TON - ( 0.86KT + 0.14KT ) * 1268.75$/TON =</v>
      </c>
      <c r="L64" s="134">
        <f>ROUND((M22*Z44-AB23*AB44)/LOOKUP(1,J28:J30,L28:L30),3)</f>
        <v>-4.9000000000000002E-2</v>
      </c>
      <c r="M64" s="158" t="str">
        <f>CONCATENATE(LOOKUP(1,J28:J30,M28:M30)," pa")</f>
        <v>M$ pa</v>
      </c>
      <c r="N64" s="161" t="str">
        <f>IF(L64&lt;&gt;0,IF(L64&lt;0,"LOSS","GAIN"),"")</f>
        <v>LOSS</v>
      </c>
      <c r="O64" s="116"/>
      <c r="P64" s="116"/>
      <c r="Q64" s="116"/>
      <c r="R64" s="116"/>
      <c r="S64" s="116"/>
      <c r="T64" s="116"/>
      <c r="U64" s="219"/>
      <c r="V64" s="220"/>
      <c r="W64" s="244"/>
      <c r="X64" s="245"/>
      <c r="Y64" s="245"/>
      <c r="Z64" s="245"/>
      <c r="AA64" s="222"/>
      <c r="AB64" s="222"/>
      <c r="AC64" s="222"/>
      <c r="AD64" s="222"/>
      <c r="AE64" s="222"/>
      <c r="AF64" s="123"/>
      <c r="AG64" s="123"/>
      <c r="AH64" s="123"/>
      <c r="AI64" s="123"/>
      <c r="AJ64" s="123"/>
      <c r="AK64" s="7"/>
      <c r="AL64" s="7"/>
      <c r="AM64" s="7"/>
      <c r="AN64" s="7"/>
      <c r="AO64" s="124"/>
      <c r="AP64" s="124"/>
      <c r="AQ64" s="124"/>
      <c r="AR64" s="124"/>
      <c r="AS64" s="124"/>
      <c r="AT64" s="124"/>
      <c r="AU64" s="124"/>
      <c r="AV64" s="124"/>
      <c r="AW64" s="124"/>
      <c r="AX64" s="124"/>
      <c r="AY64" s="124"/>
      <c r="AZ64" s="7"/>
      <c r="BA64" s="126"/>
      <c r="BB64" s="126"/>
      <c r="BC64" s="126"/>
      <c r="BD64" s="126"/>
      <c r="BE64" s="126"/>
      <c r="BF64" s="126"/>
      <c r="BG64" s="126"/>
      <c r="BH64" s="126"/>
      <c r="BI64" s="126"/>
      <c r="BJ64" s="314"/>
    </row>
    <row r="65" spans="1:62" ht="13.5" x14ac:dyDescent="0.25">
      <c r="A65" s="314"/>
      <c r="B65" s="53" t="s">
        <v>56</v>
      </c>
      <c r="C65" s="53"/>
      <c r="D65" s="53"/>
      <c r="E65" s="162">
        <f>IF(M26&lt;&gt;0,(AB23*AB44)/(M22*Z44)-1,"")</f>
        <v>3.9745953698012704E-2</v>
      </c>
      <c r="F65" s="168" t="str">
        <f>IF(L65&lt;&gt;0,IF(L65&lt;0,"INCREASE","DECREASE"),"UNCHANGED")</f>
        <v>INCREASE</v>
      </c>
      <c r="G65" s="12"/>
      <c r="H65" s="83"/>
      <c r="I65" s="53"/>
      <c r="J65" s="128"/>
      <c r="K65" s="132" t="str">
        <f>CONCATENATE(M26,"/365 * [",Z45,N22,"*",ROUND(Z44,2),X44,"-","(",ROUND(AJ45,2),N22,"+",ROUND((AB23-AJ45),2),N22,")*",ROUND(AB44,2),X44,"] =")</f>
        <v>31/365 * [1KT*1220.25$/TON-(0.86KT+0.14KT)*1268.75$/TON] =</v>
      </c>
      <c r="L65" s="134">
        <f>ROUND(M26/365*(L64),10)</f>
        <v>-4.1616437999999999E-3</v>
      </c>
      <c r="M65" s="158" t="str">
        <f>CONCATENATE(LOOKUP(1,J28:J30,M28:M30)," pa")</f>
        <v>M$ pa</v>
      </c>
      <c r="N65" s="161" t="str">
        <f>IF(L65&lt;&gt;0,IF(L65&lt;0,"LOSS","GAIN"),"")</f>
        <v>LOSS</v>
      </c>
      <c r="O65" s="116"/>
      <c r="P65" s="116"/>
      <c r="Q65" s="116"/>
      <c r="R65" s="116"/>
      <c r="S65" s="116"/>
      <c r="T65" s="116"/>
      <c r="U65" s="219"/>
      <c r="V65" s="220"/>
      <c r="W65" s="221"/>
      <c r="X65" s="222"/>
      <c r="Y65" s="222"/>
      <c r="Z65" s="222"/>
      <c r="AA65" s="222"/>
      <c r="AB65" s="222"/>
      <c r="AC65" s="222"/>
      <c r="AD65" s="222"/>
      <c r="AE65" s="222"/>
      <c r="AF65" s="123"/>
      <c r="AG65" s="123"/>
      <c r="AH65" s="123"/>
      <c r="AI65" s="123"/>
      <c r="AJ65" s="123"/>
      <c r="AK65" s="7"/>
      <c r="AL65" s="7"/>
      <c r="AM65" s="7"/>
      <c r="AN65" s="7"/>
      <c r="AO65" s="124"/>
      <c r="AP65" s="124"/>
      <c r="AQ65" s="124"/>
      <c r="AR65" s="124"/>
      <c r="AS65" s="124"/>
      <c r="AT65" s="124"/>
      <c r="AU65" s="124"/>
      <c r="AV65" s="124"/>
      <c r="AW65" s="124"/>
      <c r="AX65" s="124"/>
      <c r="AY65" s="124"/>
      <c r="AZ65" s="7"/>
      <c r="BA65" s="126"/>
      <c r="BB65" s="126"/>
      <c r="BC65" s="126"/>
      <c r="BD65" s="126"/>
      <c r="BE65" s="126"/>
      <c r="BF65" s="126"/>
      <c r="BG65" s="126"/>
      <c r="BH65" s="126"/>
      <c r="BI65" s="126"/>
      <c r="BJ65" s="314"/>
    </row>
    <row r="66" spans="1:62" ht="13.5" x14ac:dyDescent="0.25">
      <c r="A66" s="314"/>
      <c r="B66" s="130" t="s">
        <v>60</v>
      </c>
      <c r="C66" s="53"/>
      <c r="D66" s="53"/>
      <c r="E66" s="163">
        <f>AB23/M22-1</f>
        <v>0</v>
      </c>
      <c r="F66" s="168" t="str">
        <f>IF(L66&lt;&gt;0,IF(L66&lt;0,"INCREASE","DECREASE"),"UNCHANGED")</f>
        <v>UNCHANGED</v>
      </c>
      <c r="G66" s="83"/>
      <c r="H66" s="83"/>
      <c r="I66" s="53"/>
      <c r="J66" s="128"/>
      <c r="K66" s="132" t="str">
        <f>CONCATENATE(M27,N27," * ( ",M22,N22," - ",ROUND(AB23,2),N22," ) =")</f>
        <v>50$/TON * ( 1KT - 1KT ) =</v>
      </c>
      <c r="L66" s="122">
        <f>ROUND((M22-AB23)*M27/LOOKUP(1,J28:J30,L28:L30),3)</f>
        <v>0</v>
      </c>
      <c r="M66" s="159" t="str">
        <f>CONCATENATE(LOOKUP(1,J28:J30,M28:M30)," pa")</f>
        <v>M$ pa</v>
      </c>
      <c r="N66" s="161" t="str">
        <f>IF(L66&lt;&gt;0,IF(L66&lt;0,"LOSS","GAIN"),"")</f>
        <v/>
      </c>
      <c r="O66" s="116"/>
      <c r="P66" s="116"/>
      <c r="Q66" s="116"/>
      <c r="R66" s="116"/>
      <c r="S66" s="116"/>
      <c r="T66" s="116"/>
      <c r="U66" s="219"/>
      <c r="V66" s="220"/>
      <c r="W66" s="221"/>
      <c r="X66" s="222"/>
      <c r="Y66" s="222"/>
      <c r="Z66" s="222"/>
      <c r="AA66" s="222"/>
      <c r="AB66" s="222"/>
      <c r="AC66" s="222"/>
      <c r="AD66" s="222"/>
      <c r="AE66" s="222"/>
      <c r="AF66" s="123"/>
      <c r="AG66" s="123"/>
      <c r="AH66" s="123"/>
      <c r="AI66" s="123"/>
      <c r="AJ66" s="123"/>
      <c r="AK66" s="7"/>
      <c r="AL66" s="7"/>
      <c r="AM66" s="7"/>
      <c r="AN66" s="7"/>
      <c r="AO66" s="124"/>
      <c r="AP66" s="124"/>
      <c r="AQ66" s="124"/>
      <c r="AR66" s="124"/>
      <c r="AS66" s="124"/>
      <c r="AT66" s="124"/>
      <c r="AU66" s="124"/>
      <c r="AV66" s="124"/>
      <c r="AW66" s="124"/>
      <c r="AX66" s="124"/>
      <c r="AY66" s="124"/>
      <c r="AZ66" s="7"/>
      <c r="BA66" s="126"/>
      <c r="BB66" s="126"/>
      <c r="BC66" s="126"/>
      <c r="BD66" s="126"/>
      <c r="BE66" s="126"/>
      <c r="BF66" s="126"/>
      <c r="BG66" s="126"/>
      <c r="BH66" s="126"/>
      <c r="BI66" s="126"/>
      <c r="BJ66" s="314"/>
    </row>
    <row r="67" spans="1:62" ht="13.5" x14ac:dyDescent="0.25">
      <c r="A67" s="314"/>
      <c r="B67" s="117"/>
      <c r="C67" s="53"/>
      <c r="D67" s="117"/>
      <c r="E67" s="162"/>
      <c r="F67" s="158"/>
      <c r="G67" s="12"/>
      <c r="H67" s="83"/>
      <c r="I67" s="53"/>
      <c r="J67" s="130"/>
      <c r="K67" s="117" t="s">
        <v>77</v>
      </c>
      <c r="L67" s="134">
        <f>SUM(L63:L66)</f>
        <v>-5.3161643800000005E-2</v>
      </c>
      <c r="M67" s="158" t="str">
        <f>CONCATENATE(LOOKUP(1,J28:J30,M28:M30)," pa")</f>
        <v>M$ pa</v>
      </c>
      <c r="N67" s="162" t="str">
        <f>IF(L67&lt;&gt;0,IF(L67&lt;0,"LOSS","GAIN"),"")</f>
        <v>LOSS</v>
      </c>
      <c r="O67" s="116"/>
      <c r="P67" s="116"/>
      <c r="Q67" s="116"/>
      <c r="R67" s="116"/>
      <c r="S67" s="116"/>
      <c r="T67" s="116"/>
      <c r="U67" s="219"/>
      <c r="V67" s="220"/>
      <c r="W67" s="221"/>
      <c r="X67" s="222"/>
      <c r="Y67" s="222"/>
      <c r="Z67" s="222"/>
      <c r="AA67" s="222"/>
      <c r="AB67" s="222"/>
      <c r="AC67" s="222"/>
      <c r="AD67" s="222"/>
      <c r="AE67" s="222"/>
      <c r="AF67" s="123"/>
      <c r="AG67" s="123"/>
      <c r="AH67" s="123"/>
      <c r="AI67" s="123"/>
      <c r="AJ67" s="123"/>
      <c r="AK67" s="124"/>
      <c r="AL67" s="124"/>
      <c r="AM67" s="124"/>
      <c r="AN67" s="124"/>
      <c r="AO67" s="124"/>
      <c r="AP67" s="124"/>
      <c r="AQ67" s="124"/>
      <c r="AR67" s="124"/>
      <c r="AS67" s="124"/>
      <c r="AT67" s="124"/>
      <c r="AU67" s="124"/>
      <c r="AV67" s="124"/>
      <c r="AW67" s="124"/>
      <c r="AX67" s="124"/>
      <c r="AY67" s="124"/>
      <c r="AZ67" s="7"/>
      <c r="BA67" s="126"/>
      <c r="BB67" s="126"/>
      <c r="BC67" s="126"/>
      <c r="BD67" s="126"/>
      <c r="BE67" s="126"/>
      <c r="BF67" s="126"/>
      <c r="BG67" s="126"/>
      <c r="BH67" s="126"/>
      <c r="BI67" s="126"/>
      <c r="BJ67" s="314"/>
    </row>
    <row r="68" spans="1:62" ht="13.5" x14ac:dyDescent="0.25">
      <c r="A68" s="314"/>
      <c r="B68" s="130"/>
      <c r="C68" s="53"/>
      <c r="D68" s="130"/>
      <c r="E68" s="130"/>
      <c r="F68" s="130"/>
      <c r="G68" s="12"/>
      <c r="H68" s="83"/>
      <c r="I68" s="53"/>
      <c r="J68" s="128"/>
      <c r="K68" s="128"/>
      <c r="L68" s="130"/>
      <c r="M68" s="130"/>
      <c r="N68" s="159"/>
      <c r="O68" s="116"/>
      <c r="P68" s="116"/>
      <c r="Q68" s="116"/>
      <c r="R68" s="116"/>
      <c r="S68" s="116"/>
      <c r="T68" s="116"/>
      <c r="U68" s="219"/>
      <c r="V68" s="220"/>
      <c r="W68" s="221"/>
      <c r="X68" s="222"/>
      <c r="Y68" s="222"/>
      <c r="Z68" s="222"/>
      <c r="AA68" s="222"/>
      <c r="AB68" s="222"/>
      <c r="AC68" s="222"/>
      <c r="AD68" s="222"/>
      <c r="AE68" s="222"/>
      <c r="AF68" s="123"/>
      <c r="AG68" s="123"/>
      <c r="AH68" s="123"/>
      <c r="AI68" s="123"/>
      <c r="AJ68" s="123"/>
      <c r="AK68" s="124"/>
      <c r="AL68" s="124"/>
      <c r="AM68" s="124"/>
      <c r="AN68" s="124"/>
      <c r="AO68" s="124"/>
      <c r="AP68" s="124"/>
      <c r="AQ68" s="124"/>
      <c r="AR68" s="124"/>
      <c r="AS68" s="124"/>
      <c r="AT68" s="124"/>
      <c r="AU68" s="124"/>
      <c r="AV68" s="124"/>
      <c r="AW68" s="124"/>
      <c r="AX68" s="124"/>
      <c r="AY68" s="124"/>
      <c r="AZ68" s="7"/>
      <c r="BA68" s="126"/>
      <c r="BB68" s="126"/>
      <c r="BC68" s="126"/>
      <c r="BD68" s="126"/>
      <c r="BE68" s="126"/>
      <c r="BF68" s="126"/>
      <c r="BG68" s="126"/>
      <c r="BH68" s="126"/>
      <c r="BI68" s="126"/>
      <c r="BJ68" s="314"/>
    </row>
    <row r="69" spans="1:62" ht="13.5" x14ac:dyDescent="0.25">
      <c r="A69" s="314"/>
      <c r="B69" s="136" t="str">
        <f>CONCATENATE("DOWNSTREAM PLAYERS BENEFITS - BUYING SAME ",LOOKUP(BA6,BC9:BC32,BG9:BG32))</f>
        <v>DOWNSTREAM PLAYERS BENEFITS - BUYING SAME sq m</v>
      </c>
      <c r="C69" s="53"/>
      <c r="D69" s="137"/>
      <c r="E69" s="137"/>
      <c r="F69" s="137"/>
      <c r="G69" s="12"/>
      <c r="H69" s="83"/>
      <c r="I69" s="53"/>
      <c r="J69" s="128"/>
      <c r="K69" s="128"/>
      <c r="L69" s="137"/>
      <c r="O69" s="116"/>
      <c r="P69" s="116"/>
      <c r="Q69" s="116"/>
      <c r="R69" s="116"/>
      <c r="S69" s="116"/>
      <c r="T69" s="116"/>
      <c r="U69" s="219"/>
      <c r="V69" s="220"/>
      <c r="W69" s="221"/>
      <c r="X69" s="222"/>
      <c r="Y69" s="222"/>
      <c r="Z69" s="222"/>
      <c r="AA69" s="222"/>
      <c r="AB69" s="222"/>
      <c r="AC69" s="222"/>
      <c r="AD69" s="222"/>
      <c r="AE69" s="222"/>
      <c r="AF69" s="123"/>
      <c r="AG69" s="123"/>
      <c r="AH69" s="123"/>
      <c r="AI69" s="123"/>
      <c r="AJ69" s="123"/>
      <c r="AK69" s="124"/>
      <c r="AL69" s="124"/>
      <c r="AM69" s="124"/>
      <c r="AN69" s="124"/>
      <c r="AO69" s="124"/>
      <c r="AP69" s="124"/>
      <c r="AQ69" s="124"/>
      <c r="AR69" s="124"/>
      <c r="AS69" s="124"/>
      <c r="AT69" s="124"/>
      <c r="AU69" s="124"/>
      <c r="AV69" s="124"/>
      <c r="AW69" s="124"/>
      <c r="AX69" s="124"/>
      <c r="AY69" s="124"/>
      <c r="AZ69" s="7"/>
      <c r="BA69" s="126"/>
      <c r="BB69" s="126"/>
      <c r="BC69" s="126"/>
      <c r="BD69" s="126"/>
      <c r="BE69" s="126"/>
      <c r="BF69" s="126"/>
      <c r="BG69" s="126"/>
      <c r="BH69" s="126"/>
      <c r="BI69" s="126"/>
      <c r="BJ69" s="314"/>
    </row>
    <row r="70" spans="1:62" ht="13.5" x14ac:dyDescent="0.25">
      <c r="A70" s="314"/>
      <c r="B70" s="130" t="s">
        <v>76</v>
      </c>
      <c r="C70" s="53"/>
      <c r="D70" s="130"/>
      <c r="E70" s="163">
        <f>AJ45/Z45-1</f>
        <v>-0.13573421667661867</v>
      </c>
      <c r="F70" s="168" t="str">
        <f>IF(L70&lt;&gt;0,IF(L70&lt;0,"INCREASE","DECREASE"),"UNCHANGED")</f>
        <v>DECREASE</v>
      </c>
      <c r="G70" s="12"/>
      <c r="H70" s="83"/>
      <c r="I70" s="53"/>
      <c r="J70" s="128"/>
      <c r="K70" s="132" t="str">
        <f>CONCATENATE("( ",ROUND(Z45,2),N22," - ",ROUND(AJ45,2),N22," ) * ",ROUND(J60,2),X44," =")</f>
        <v>( 1KT - 0.86KT ) * 1586.33$/TON =</v>
      </c>
      <c r="L70" s="122">
        <f>ROUND((Z45*J60-AJ45*J60)/LOOKUP(1,J28:J30,L28:L30),3)</f>
        <v>0.215</v>
      </c>
      <c r="M70" s="159" t="str">
        <f>CONCATENATE(LOOKUP(1,J28:J30,M28:M30)," pa")</f>
        <v>M$ pa</v>
      </c>
      <c r="N70" s="161" t="str">
        <f>IF(L70&lt;&gt;0,IF(L70&lt;0,"LOSS","GAIN"),"")</f>
        <v>GAIN</v>
      </c>
      <c r="O70" s="116"/>
      <c r="P70" s="116"/>
      <c r="Q70" s="116"/>
      <c r="R70" s="116"/>
      <c r="S70" s="116"/>
      <c r="T70" s="116"/>
      <c r="U70" s="219"/>
      <c r="V70" s="220"/>
      <c r="W70" s="221"/>
      <c r="X70" s="222"/>
      <c r="Y70" s="222"/>
      <c r="Z70" s="222"/>
      <c r="AA70" s="222"/>
      <c r="AB70" s="222"/>
      <c r="AC70" s="222"/>
      <c r="AD70" s="222"/>
      <c r="AE70" s="222"/>
      <c r="AF70" s="123"/>
      <c r="AG70" s="123"/>
      <c r="AH70" s="123"/>
      <c r="AI70" s="123"/>
      <c r="AJ70" s="123"/>
      <c r="AK70" s="124"/>
      <c r="AL70" s="124"/>
      <c r="AM70" s="124"/>
      <c r="AN70" s="124"/>
      <c r="AO70" s="124"/>
      <c r="AP70" s="124"/>
      <c r="AQ70" s="124"/>
      <c r="AR70" s="124"/>
      <c r="AS70" s="124"/>
      <c r="AT70" s="124"/>
      <c r="AU70" s="124"/>
      <c r="AV70" s="124"/>
      <c r="AW70" s="124"/>
      <c r="AX70" s="124"/>
      <c r="AY70" s="124"/>
      <c r="AZ70" s="7"/>
      <c r="BA70" s="126"/>
      <c r="BB70" s="126"/>
      <c r="BC70" s="126"/>
      <c r="BD70" s="126"/>
      <c r="BE70" s="126"/>
      <c r="BF70" s="126"/>
      <c r="BG70" s="126"/>
      <c r="BH70" s="126"/>
      <c r="BI70" s="126"/>
      <c r="BJ70" s="314"/>
    </row>
    <row r="71" spans="1:62" ht="13.5" x14ac:dyDescent="0.25">
      <c r="A71" s="314"/>
      <c r="B71" s="130" t="s">
        <v>56</v>
      </c>
      <c r="C71" s="53"/>
      <c r="D71" s="130"/>
      <c r="E71" s="163">
        <f>IF(M26&lt;&gt;0,AJ45/Z45-1,"")</f>
        <v>-0.13573421667661867</v>
      </c>
      <c r="F71" s="168" t="str">
        <f>IF(L71&lt;&gt;0,IF(L71&lt;0,"INCREASE","DECREASE"),"UNCHANGED")</f>
        <v>DECREASE</v>
      </c>
      <c r="G71" s="12"/>
      <c r="H71" s="83"/>
      <c r="I71" s="53"/>
      <c r="J71" s="128"/>
      <c r="K71" s="132" t="str">
        <f>CONCATENATE(M26," / 365 * ","( ",ROUND(Z45,2),N22," - ",ROUND(AJ45,2),N22," ) * ",ROUND(J60,2),X44," =")</f>
        <v>31 / 365 * ( 1KT - 0.86KT ) * 1586.33$/TON =</v>
      </c>
      <c r="L71" s="122">
        <f>ROUND(M26/365*(Z45*J60-AJ45*J60)/LOOKUP(1,J28:J30,L28:L30),3)</f>
        <v>1.7999999999999999E-2</v>
      </c>
      <c r="M71" s="159" t="str">
        <f>CONCATENATE(LOOKUP(1,J28:J30,M28:M30)," pa")</f>
        <v>M$ pa</v>
      </c>
      <c r="N71" s="161" t="str">
        <f>IF(L71&lt;&gt;0,IF(L71&lt;0,"LOSS","GAIN"),"")</f>
        <v>GAIN</v>
      </c>
      <c r="O71" s="116"/>
      <c r="P71" s="116"/>
      <c r="Q71" s="116"/>
      <c r="R71" s="116"/>
      <c r="S71" s="116"/>
      <c r="T71" s="116"/>
      <c r="U71" s="219"/>
      <c r="V71" s="220"/>
      <c r="W71" s="221"/>
      <c r="X71" s="222"/>
      <c r="Y71" s="222"/>
      <c r="Z71" s="222"/>
      <c r="AA71" s="222"/>
      <c r="AB71" s="222"/>
      <c r="AC71" s="222"/>
      <c r="AD71" s="222"/>
      <c r="AE71" s="222"/>
      <c r="AF71" s="123"/>
      <c r="AG71" s="123"/>
      <c r="AH71" s="123"/>
      <c r="AI71" s="123"/>
      <c r="AJ71" s="123"/>
      <c r="AK71" s="124"/>
      <c r="AL71" s="124"/>
      <c r="AM71" s="124"/>
      <c r="AN71" s="124"/>
      <c r="AO71" s="124"/>
      <c r="AP71" s="124"/>
      <c r="AQ71" s="124"/>
      <c r="AR71" s="124"/>
      <c r="AS71" s="124"/>
      <c r="AT71" s="124"/>
      <c r="AU71" s="124"/>
      <c r="AV71" s="124"/>
      <c r="AW71" s="124"/>
      <c r="AX71" s="124"/>
      <c r="AY71" s="124"/>
      <c r="AZ71" s="7"/>
      <c r="BA71" s="126"/>
      <c r="BB71" s="126"/>
      <c r="BC71" s="126"/>
      <c r="BD71" s="126"/>
      <c r="BE71" s="126"/>
      <c r="BF71" s="126"/>
      <c r="BG71" s="126"/>
      <c r="BH71" s="126"/>
      <c r="BI71" s="126"/>
      <c r="BJ71" s="314"/>
    </row>
    <row r="72" spans="1:62" ht="13.5" x14ac:dyDescent="0.25">
      <c r="A72" s="314"/>
      <c r="B72" s="137" t="str">
        <f>IF(AB27&lt;&gt;100%,"UNIT VALUE ADD","")</f>
        <v/>
      </c>
      <c r="C72" s="53"/>
      <c r="D72" s="130"/>
      <c r="E72" s="163" t="str">
        <f>IF(AB27&lt;&gt;100%,(AB27-1),"")</f>
        <v/>
      </c>
      <c r="F72" s="168" t="str">
        <f>IF(AB27&lt;&gt;100%,IF(L72&lt;&gt;0,IF(L72&lt;0,"DECREASE","INCREASE"),"UNCHANGED"),"")</f>
        <v/>
      </c>
      <c r="G72" s="12"/>
      <c r="H72" s="83"/>
      <c r="I72" s="53"/>
      <c r="J72" s="128"/>
      <c r="K72" s="240" t="str">
        <f>IF(AB27&lt;&gt;100%,CONCATENATE("(",ROUND(AB27,2)*100,"% - ","100%) * ",ROUND(J60,2),X44," * ",ROUND(AJ45,2),AC23," ="),"")</f>
        <v/>
      </c>
      <c r="L72" s="122" t="str">
        <f>IF(AB27&lt;&gt;100%,ROUND(((AB27-1)*J60*AJ45)/LOOKUP(1,J28:J30,L28:L30),3),"")</f>
        <v/>
      </c>
      <c r="M72" s="159" t="str">
        <f>IF(AB27&lt;&gt;100%,CONCATENATE(LOOKUP(1,J28:J30,M28:M30)," pa"),"")</f>
        <v/>
      </c>
      <c r="N72" s="161" t="str">
        <f>IF(AB27&lt;&gt;100%,IF(L72&lt;&gt;0,IF(L72&lt;0,"LOSS","GAIN"),""),"")</f>
        <v/>
      </c>
      <c r="O72" s="116"/>
      <c r="P72" s="116"/>
      <c r="Q72" s="116"/>
      <c r="R72" s="116"/>
      <c r="S72" s="116"/>
      <c r="T72" s="116"/>
      <c r="U72" s="219"/>
      <c r="V72" s="220"/>
      <c r="W72" s="221"/>
      <c r="X72" s="222"/>
      <c r="Y72" s="222"/>
      <c r="Z72" s="222"/>
      <c r="AA72" s="222"/>
      <c r="AB72" s="222"/>
      <c r="AC72" s="222"/>
      <c r="AD72" s="222"/>
      <c r="AE72" s="222"/>
      <c r="AF72" s="123"/>
      <c r="AG72" s="123"/>
      <c r="AH72" s="123"/>
      <c r="AI72" s="123"/>
      <c r="AJ72" s="123"/>
      <c r="AK72" s="124"/>
      <c r="AL72" s="124"/>
      <c r="AM72" s="124"/>
      <c r="AN72" s="124"/>
      <c r="AO72" s="124"/>
      <c r="AP72" s="124"/>
      <c r="AQ72" s="124"/>
      <c r="AR72" s="124"/>
      <c r="AS72" s="124"/>
      <c r="AT72" s="124"/>
      <c r="AU72" s="124"/>
      <c r="AV72" s="124"/>
      <c r="AW72" s="124"/>
      <c r="AX72" s="124"/>
      <c r="AY72" s="124"/>
      <c r="AZ72" s="7"/>
      <c r="BA72" s="126"/>
      <c r="BB72" s="126"/>
      <c r="BC72" s="126"/>
      <c r="BD72" s="126"/>
      <c r="BE72" s="126"/>
      <c r="BF72" s="126"/>
      <c r="BG72" s="126"/>
      <c r="BH72" s="126"/>
      <c r="BI72" s="126"/>
      <c r="BJ72" s="314"/>
    </row>
    <row r="73" spans="1:62" ht="13.5" x14ac:dyDescent="0.25">
      <c r="A73" s="314"/>
      <c r="B73" s="117"/>
      <c r="C73" s="53"/>
      <c r="D73" s="117"/>
      <c r="E73" s="163"/>
      <c r="F73" s="158"/>
      <c r="G73" s="12"/>
      <c r="H73" s="83"/>
      <c r="I73" s="53"/>
      <c r="J73" s="130"/>
      <c r="K73" s="117" t="s">
        <v>77</v>
      </c>
      <c r="L73" s="134">
        <f>SUM(L70:L72)</f>
        <v>0.23299999999999998</v>
      </c>
      <c r="M73" s="158" t="str">
        <f>CONCATENATE(LOOKUP(1,J28:J30,M28:M30)," pa")</f>
        <v>M$ pa</v>
      </c>
      <c r="N73" s="162" t="str">
        <f>IF(L73&lt;&gt;0,IF(L73&lt;0,"LOSS","GAIN"),"")</f>
        <v>GAIN</v>
      </c>
      <c r="O73" s="116"/>
      <c r="P73" s="116"/>
      <c r="Q73" s="116"/>
      <c r="R73" s="116"/>
      <c r="S73" s="116"/>
      <c r="T73" s="116"/>
      <c r="U73" s="219"/>
      <c r="V73" s="220"/>
      <c r="W73" s="221"/>
      <c r="X73" s="222"/>
      <c r="Y73" s="222"/>
      <c r="Z73" s="222"/>
      <c r="AA73" s="222"/>
      <c r="AB73" s="222"/>
      <c r="AC73" s="222"/>
      <c r="AD73" s="222"/>
      <c r="AE73" s="222"/>
      <c r="AF73" s="123"/>
      <c r="AG73" s="123"/>
      <c r="AH73" s="123"/>
      <c r="AI73" s="123"/>
      <c r="AJ73" s="123"/>
      <c r="AK73" s="124"/>
      <c r="AL73" s="124"/>
      <c r="AM73" s="124"/>
      <c r="AN73" s="124"/>
      <c r="AO73" s="124"/>
      <c r="AP73" s="124"/>
      <c r="AQ73" s="124"/>
      <c r="AR73" s="124"/>
      <c r="AS73" s="124"/>
      <c r="AT73" s="124"/>
      <c r="AU73" s="124"/>
      <c r="AV73" s="124"/>
      <c r="AW73" s="124"/>
      <c r="AX73" s="124"/>
      <c r="AY73" s="124"/>
      <c r="AZ73" s="7"/>
      <c r="BA73" s="126"/>
      <c r="BB73" s="126"/>
      <c r="BC73" s="126"/>
      <c r="BD73" s="126"/>
      <c r="BE73" s="126"/>
      <c r="BF73" s="126"/>
      <c r="BG73" s="126"/>
      <c r="BH73" s="126"/>
      <c r="BI73" s="126"/>
      <c r="BJ73" s="314"/>
    </row>
    <row r="74" spans="1:62" ht="13.5" x14ac:dyDescent="0.25">
      <c r="A74" s="314"/>
      <c r="B74" s="130"/>
      <c r="C74" s="53"/>
      <c r="D74" s="130"/>
      <c r="E74" s="130"/>
      <c r="F74" s="130"/>
      <c r="G74" s="138"/>
      <c r="H74" s="83"/>
      <c r="I74" s="53"/>
      <c r="J74" s="128"/>
      <c r="K74" s="128"/>
      <c r="L74" s="122"/>
      <c r="M74" s="53"/>
      <c r="N74" s="53"/>
      <c r="O74" s="116"/>
      <c r="P74" s="116"/>
      <c r="Q74" s="116"/>
      <c r="R74" s="116"/>
      <c r="S74" s="116"/>
      <c r="T74" s="116"/>
      <c r="U74" s="219"/>
      <c r="V74" s="220"/>
      <c r="W74" s="221"/>
      <c r="X74" s="222"/>
      <c r="Y74" s="222"/>
      <c r="Z74" s="222"/>
      <c r="AA74" s="222"/>
      <c r="AB74" s="222"/>
      <c r="AC74" s="222"/>
      <c r="AD74" s="222"/>
      <c r="AE74" s="222"/>
      <c r="AF74" s="123"/>
      <c r="AG74" s="123"/>
      <c r="AH74" s="123"/>
      <c r="AI74" s="123"/>
      <c r="AJ74" s="123"/>
      <c r="AK74" s="124"/>
      <c r="AL74" s="124"/>
      <c r="AM74" s="124"/>
      <c r="AN74" s="124"/>
      <c r="AO74" s="124"/>
      <c r="AP74" s="124"/>
      <c r="AQ74" s="124"/>
      <c r="AR74" s="124"/>
      <c r="AS74" s="124"/>
      <c r="AT74" s="124"/>
      <c r="AU74" s="124"/>
      <c r="AV74" s="124"/>
      <c r="AW74" s="124"/>
      <c r="AX74" s="124"/>
      <c r="AY74" s="124"/>
      <c r="AZ74" s="7"/>
      <c r="BA74" s="126"/>
      <c r="BB74" s="126"/>
      <c r="BC74" s="126"/>
      <c r="BD74" s="126"/>
      <c r="BE74" s="126"/>
      <c r="BF74" s="126"/>
      <c r="BG74" s="126"/>
      <c r="BH74" s="126"/>
      <c r="BI74" s="126"/>
      <c r="BJ74" s="314"/>
    </row>
    <row r="75" spans="1:62" ht="3" customHeight="1" x14ac:dyDescent="0.25">
      <c r="A75" s="314"/>
      <c r="B75" s="116"/>
      <c r="C75" s="116"/>
      <c r="D75" s="116"/>
      <c r="E75" s="116"/>
      <c r="F75" s="116"/>
      <c r="G75" s="116"/>
      <c r="H75" s="116"/>
      <c r="I75" s="116"/>
      <c r="J75" s="127"/>
      <c r="K75" s="127"/>
      <c r="L75" s="116"/>
      <c r="M75" s="116"/>
      <c r="N75" s="116"/>
      <c r="O75" s="116"/>
      <c r="P75" s="116"/>
      <c r="Q75" s="116"/>
      <c r="R75" s="116"/>
      <c r="S75" s="116"/>
      <c r="T75" s="116"/>
      <c r="U75" s="219"/>
      <c r="V75" s="219"/>
      <c r="W75" s="219"/>
      <c r="X75" s="219"/>
      <c r="Y75" s="222"/>
      <c r="Z75" s="222"/>
      <c r="AA75" s="222"/>
      <c r="AB75" s="222"/>
      <c r="AC75" s="222"/>
      <c r="AD75" s="222"/>
      <c r="AE75" s="222"/>
      <c r="AF75" s="123"/>
      <c r="AG75" s="123"/>
      <c r="AH75" s="123"/>
      <c r="AI75" s="123"/>
      <c r="AJ75" s="123"/>
      <c r="AK75" s="124"/>
      <c r="AL75" s="124"/>
      <c r="AM75" s="124"/>
      <c r="AN75" s="124"/>
      <c r="AO75" s="124"/>
      <c r="AP75" s="124"/>
      <c r="AQ75" s="124"/>
      <c r="AR75" s="124"/>
      <c r="AS75" s="124"/>
      <c r="AT75" s="124"/>
      <c r="AU75" s="124"/>
      <c r="AV75" s="124"/>
      <c r="AW75" s="124"/>
      <c r="AX75" s="124"/>
      <c r="AY75" s="124"/>
      <c r="AZ75" s="7"/>
      <c r="BA75" s="126"/>
      <c r="BB75" s="126"/>
      <c r="BC75" s="126"/>
      <c r="BD75" s="126"/>
      <c r="BE75" s="126"/>
      <c r="BF75" s="126"/>
      <c r="BG75" s="126"/>
      <c r="BH75" s="126"/>
      <c r="BI75" s="126"/>
      <c r="BJ75" s="314"/>
    </row>
    <row r="76" spans="1:62" ht="13.5" x14ac:dyDescent="0.25">
      <c r="A76" s="314"/>
      <c r="B76" s="194" t="str">
        <f>CONCATENATE("CONVERTER SELLS @ ",IF(AB27&gt;1,"MAXIMUM ","CONSTANT "),X41)</f>
        <v>CONVERTER SELLS @ CONSTANT $ per 1000 sq m</v>
      </c>
      <c r="C76" s="195"/>
      <c r="D76" s="195"/>
      <c r="E76" s="137"/>
      <c r="F76" s="139"/>
      <c r="G76" s="139"/>
      <c r="H76" s="119"/>
      <c r="I76" s="120" t="str">
        <f>IF(AB27&lt;&gt;100%,CONCATENATE(ROUND(AB27*100,0),"% * ",ROUND(M25*100,0),"% * ",ROUND(Z41,0),X41," ="),CONCATENATE(ROUND(M25*100,0),"% * ",ROUND(Z41,0),X41," ="))</f>
        <v>130% * 85$ per 1000 sq m =</v>
      </c>
      <c r="J76" s="121">
        <f>ROUND(Z41*M25*AB27,3)</f>
        <v>110.699</v>
      </c>
      <c r="K76" s="139" t="str">
        <f>CONCATENATE(X41," =")</f>
        <v>$ per 1000 sq m =</v>
      </c>
      <c r="L76" s="121">
        <f>ROUND(J60/(1-AB26)*(Z42/AB42)*AB27,2)</f>
        <v>1835.47</v>
      </c>
      <c r="M76" s="235" t="str">
        <f>F8</f>
        <v>$/TON</v>
      </c>
      <c r="N76" s="236"/>
      <c r="O76" s="116"/>
      <c r="P76" s="116"/>
      <c r="Q76" s="116"/>
      <c r="R76" s="116"/>
      <c r="S76" s="116"/>
      <c r="T76" s="116"/>
      <c r="U76" s="219"/>
      <c r="V76" s="220"/>
      <c r="W76" s="221"/>
      <c r="X76" s="222"/>
      <c r="Y76" s="222"/>
      <c r="Z76" s="222"/>
      <c r="AA76" s="222"/>
      <c r="AB76" s="222"/>
      <c r="AC76" s="222"/>
      <c r="AD76" s="222"/>
      <c r="AE76" s="222"/>
      <c r="AF76" s="123"/>
      <c r="AG76" s="123"/>
      <c r="AH76" s="123"/>
      <c r="AI76" s="123"/>
      <c r="AJ76" s="123"/>
      <c r="AK76" s="124"/>
      <c r="AL76" s="124"/>
      <c r="AM76" s="124"/>
      <c r="AN76" s="124"/>
      <c r="AO76" s="124"/>
      <c r="AP76" s="124"/>
      <c r="AQ76" s="124"/>
      <c r="AR76" s="124"/>
      <c r="AS76" s="124"/>
      <c r="AT76" s="124"/>
      <c r="AU76" s="124"/>
      <c r="AV76" s="124"/>
      <c r="AW76" s="124"/>
      <c r="AX76" s="124"/>
      <c r="AY76" s="124"/>
      <c r="AZ76" s="7"/>
      <c r="BA76" s="126"/>
      <c r="BB76" s="126"/>
      <c r="BC76" s="126"/>
      <c r="BD76" s="126"/>
      <c r="BE76" s="126"/>
      <c r="BF76" s="126"/>
      <c r="BG76" s="126"/>
      <c r="BH76" s="126"/>
      <c r="BI76" s="126"/>
      <c r="BJ76" s="314"/>
    </row>
    <row r="77" spans="1:62" ht="13.5" x14ac:dyDescent="0.25">
      <c r="A77" s="314"/>
      <c r="B77" s="83"/>
      <c r="C77" s="53"/>
      <c r="D77" s="53"/>
      <c r="E77" s="53"/>
      <c r="F77" s="53"/>
      <c r="G77" s="53"/>
      <c r="H77" s="83"/>
      <c r="I77" s="53"/>
      <c r="J77" s="128"/>
      <c r="K77" s="128"/>
      <c r="L77" s="130"/>
      <c r="M77" s="53"/>
      <c r="N77" s="53"/>
      <c r="O77" s="116"/>
      <c r="P77" s="116"/>
      <c r="Q77" s="116"/>
      <c r="R77" s="116"/>
      <c r="S77" s="116"/>
      <c r="T77" s="116"/>
      <c r="U77" s="219"/>
      <c r="V77" s="220"/>
      <c r="W77" s="221"/>
      <c r="X77" s="222"/>
      <c r="Y77" s="222"/>
      <c r="Z77" s="222"/>
      <c r="AA77" s="222"/>
      <c r="AB77" s="222"/>
      <c r="AC77" s="222"/>
      <c r="AD77" s="222"/>
      <c r="AE77" s="222"/>
      <c r="AF77" s="123"/>
      <c r="AG77" s="123"/>
      <c r="AH77" s="123"/>
      <c r="AI77" s="123"/>
      <c r="AJ77" s="123"/>
      <c r="AK77" s="124"/>
      <c r="AL77" s="124"/>
      <c r="AM77" s="124"/>
      <c r="AN77" s="124"/>
      <c r="AO77" s="124"/>
      <c r="AP77" s="124"/>
      <c r="AQ77" s="124"/>
      <c r="AR77" s="124"/>
      <c r="AS77" s="124"/>
      <c r="AT77" s="124"/>
      <c r="AU77" s="124"/>
      <c r="AV77" s="124"/>
      <c r="AW77" s="124"/>
      <c r="AX77" s="124"/>
      <c r="AY77" s="124"/>
      <c r="AZ77" s="7"/>
      <c r="BA77" s="126"/>
      <c r="BB77" s="126"/>
      <c r="BC77" s="126"/>
      <c r="BD77" s="126"/>
      <c r="BE77" s="126"/>
      <c r="BF77" s="126"/>
      <c r="BG77" s="126"/>
      <c r="BH77" s="126"/>
      <c r="BI77" s="126"/>
      <c r="BJ77" s="314"/>
    </row>
    <row r="78" spans="1:62" ht="13.5" x14ac:dyDescent="0.25">
      <c r="A78" s="314"/>
      <c r="B78" s="131" t="str">
        <f>CONCATENATE("CONVERTER BENEFITS - ON ",AB23,N22," BUSINESS")</f>
        <v>CONVERTER BENEFITS - ON 1KT BUSINESS</v>
      </c>
      <c r="C78" s="53"/>
      <c r="D78" s="53"/>
      <c r="E78" s="53"/>
      <c r="F78" s="53"/>
      <c r="G78" s="53"/>
      <c r="H78" s="83"/>
      <c r="I78" s="53"/>
      <c r="J78" s="128"/>
      <c r="K78" s="128"/>
      <c r="L78" s="53"/>
      <c r="O78" s="116"/>
      <c r="P78" s="116"/>
      <c r="Q78" s="116"/>
      <c r="R78" s="116"/>
      <c r="S78" s="116"/>
      <c r="T78" s="116"/>
      <c r="U78" s="219"/>
      <c r="V78" s="220"/>
      <c r="W78" s="221"/>
      <c r="X78" s="222"/>
      <c r="Y78" s="222"/>
      <c r="Z78" s="222"/>
      <c r="AA78" s="222"/>
      <c r="AB78" s="222"/>
      <c r="AC78" s="222"/>
      <c r="AD78" s="222"/>
      <c r="AE78" s="222"/>
      <c r="AF78" s="123"/>
      <c r="AG78" s="123"/>
      <c r="AH78" s="123"/>
      <c r="AI78" s="123"/>
      <c r="AJ78" s="123"/>
      <c r="AK78" s="124"/>
      <c r="AL78" s="124"/>
      <c r="AM78" s="124"/>
      <c r="AN78" s="124"/>
      <c r="AO78" s="124"/>
      <c r="AP78" s="124"/>
      <c r="AQ78" s="124"/>
      <c r="AR78" s="124"/>
      <c r="AS78" s="124"/>
      <c r="AT78" s="124"/>
      <c r="AU78" s="124"/>
      <c r="AV78" s="124"/>
      <c r="AW78" s="124"/>
      <c r="AX78" s="124"/>
      <c r="AY78" s="124"/>
      <c r="AZ78" s="7"/>
      <c r="BA78" s="126"/>
      <c r="BB78" s="126"/>
      <c r="BC78" s="126"/>
      <c r="BD78" s="126"/>
      <c r="BE78" s="126"/>
      <c r="BF78" s="126"/>
      <c r="BG78" s="126"/>
      <c r="BH78" s="126"/>
      <c r="BI78" s="126"/>
      <c r="BJ78" s="314"/>
    </row>
    <row r="79" spans="1:62" ht="13.5" x14ac:dyDescent="0.25">
      <c r="A79" s="314"/>
      <c r="B79" s="53" t="s">
        <v>57</v>
      </c>
      <c r="C79" s="53"/>
      <c r="D79" s="53"/>
      <c r="E79" s="162">
        <f>(AB23*L76)/(M22*J60)-1</f>
        <v>0.15705433295720317</v>
      </c>
      <c r="F79" s="168" t="str">
        <f>IF(L79&lt;&gt;0,IF(L79&lt;0,"DECREASE","INCREASE"),"UNCHANGED")</f>
        <v>INCREASE</v>
      </c>
      <c r="G79" s="12"/>
      <c r="H79" s="83"/>
      <c r="I79" s="53"/>
      <c r="J79" s="128"/>
      <c r="K79" s="132" t="str">
        <f>CONCATENATE("( ",ROUND(AJ45,2),N22," + ",ROUND((AB23-AJ45),2),N22," ) * ",ROUND(L76,2),X44," - ",ROUND(Z45,2),N22," * ",ROUND(J60,2),X44," =")</f>
        <v>( 0.86KT + 0.14KT ) * 1835.47$/TON - 1KT * 1586.33$/TON =</v>
      </c>
      <c r="L79" s="133">
        <f>ROUND((AB23*L76-M22*J60)/LOOKUP(1,J28:J30,L28:L30),3)</f>
        <v>0.249</v>
      </c>
      <c r="M79" s="158" t="str">
        <f>CONCATENATE(LOOKUP(1,J28:J30,M28:M30)," pa")</f>
        <v>M$ pa</v>
      </c>
      <c r="N79" s="161" t="str">
        <f>IF(L79&lt;&gt;0,IF(L79&lt;0,"LOSS","GAIN"),"")</f>
        <v>GAIN</v>
      </c>
      <c r="O79" s="116"/>
      <c r="P79" s="116"/>
      <c r="Q79" s="116"/>
      <c r="R79" s="116"/>
      <c r="S79" s="116"/>
      <c r="T79" s="116"/>
      <c r="U79" s="219"/>
      <c r="V79" s="220"/>
      <c r="W79" s="221"/>
      <c r="X79" s="222"/>
      <c r="Y79" s="222"/>
      <c r="Z79" s="222"/>
      <c r="AA79" s="222"/>
      <c r="AB79" s="222"/>
      <c r="AC79" s="222"/>
      <c r="AD79" s="222"/>
      <c r="AE79" s="222"/>
      <c r="AF79" s="123"/>
      <c r="AG79" s="123"/>
      <c r="AH79" s="123"/>
      <c r="AI79" s="123"/>
      <c r="AJ79" s="123"/>
      <c r="AK79" s="124"/>
      <c r="AL79" s="124"/>
      <c r="AM79" s="124"/>
      <c r="AN79" s="124"/>
      <c r="AO79" s="124"/>
      <c r="AP79" s="124"/>
      <c r="AQ79" s="124"/>
      <c r="AR79" s="124"/>
      <c r="AS79" s="124"/>
      <c r="AT79" s="124"/>
      <c r="AU79" s="124"/>
      <c r="AV79" s="124"/>
      <c r="AW79" s="124"/>
      <c r="AX79" s="124"/>
      <c r="AY79" s="124"/>
      <c r="AZ79" s="7"/>
      <c r="BA79" s="126"/>
      <c r="BB79" s="126"/>
      <c r="BC79" s="126"/>
      <c r="BD79" s="126"/>
      <c r="BE79" s="126"/>
      <c r="BF79" s="126"/>
      <c r="BG79" s="126"/>
      <c r="BH79" s="126"/>
      <c r="BI79" s="126"/>
      <c r="BJ79" s="314"/>
    </row>
    <row r="80" spans="1:62" ht="13.5" x14ac:dyDescent="0.25">
      <c r="A80" s="314"/>
      <c r="B80" s="53" t="s">
        <v>55</v>
      </c>
      <c r="C80" s="53"/>
      <c r="D80" s="53"/>
      <c r="E80" s="162">
        <f>(AB23*AB44)/(M22*Z44)-1</f>
        <v>3.9745953698012704E-2</v>
      </c>
      <c r="F80" s="168" t="str">
        <f>IF(L80&lt;&gt;0,IF(L80&lt;0,"INCREASE","DECREASE"),"UNCHANGED")</f>
        <v>INCREASE</v>
      </c>
      <c r="G80" s="12"/>
      <c r="H80" s="83"/>
      <c r="I80" s="53"/>
      <c r="J80" s="128"/>
      <c r="K80" s="132" t="str">
        <f>CONCATENATE(ROUND(Z45,2),N22," * ",ROUND(Z44,2),X44," - ","( ",ROUND(AJ45,2),N22," + ",ROUND((AB23-AJ45),2),N22," ) * ",ROUND(AB44,2),X44," =")</f>
        <v>1KT * 1220.25$/TON - ( 0.86KT + 0.14KT ) * 1268.75$/TON =</v>
      </c>
      <c r="L80" s="134">
        <f>ROUND((M22*Z44-AB23*AB44)/LOOKUP(1,J28:J30,L28:L30),3)</f>
        <v>-4.9000000000000002E-2</v>
      </c>
      <c r="M80" s="158" t="str">
        <f>CONCATENATE(LOOKUP(1,J28:J30,M28:M30)," pa")</f>
        <v>M$ pa</v>
      </c>
      <c r="N80" s="161" t="str">
        <f>IF(L80&lt;&gt;0,IF(L80&lt;0,"LOSS","GAIN"),"")</f>
        <v>LOSS</v>
      </c>
      <c r="O80" s="116"/>
      <c r="P80" s="116"/>
      <c r="Q80" s="116"/>
      <c r="R80" s="116"/>
      <c r="S80" s="116"/>
      <c r="T80" s="116"/>
      <c r="U80" s="219"/>
      <c r="V80" s="220"/>
      <c r="W80" s="221"/>
      <c r="X80" s="222"/>
      <c r="Y80" s="222"/>
      <c r="Z80" s="222"/>
      <c r="AA80" s="222"/>
      <c r="AB80" s="222"/>
      <c r="AC80" s="222"/>
      <c r="AD80" s="222"/>
      <c r="AE80" s="222"/>
      <c r="AF80" s="123"/>
      <c r="AG80" s="123"/>
      <c r="AH80" s="123"/>
      <c r="AI80" s="123"/>
      <c r="AJ80" s="123"/>
      <c r="AK80" s="124"/>
      <c r="AL80" s="124"/>
      <c r="AM80" s="124"/>
      <c r="AN80" s="124"/>
      <c r="AO80" s="124"/>
      <c r="AP80" s="124"/>
      <c r="AQ80" s="124"/>
      <c r="AR80" s="124"/>
      <c r="AS80" s="124"/>
      <c r="AT80" s="124"/>
      <c r="AU80" s="124"/>
      <c r="AV80" s="124"/>
      <c r="AW80" s="124"/>
      <c r="AX80" s="124"/>
      <c r="AY80" s="124"/>
      <c r="AZ80" s="7"/>
      <c r="BA80" s="126"/>
      <c r="BB80" s="126"/>
      <c r="BC80" s="126"/>
      <c r="BD80" s="126"/>
      <c r="BE80" s="126"/>
      <c r="BF80" s="126"/>
      <c r="BG80" s="126"/>
      <c r="BH80" s="126"/>
      <c r="BI80" s="126"/>
      <c r="BJ80" s="314"/>
    </row>
    <row r="81" spans="1:62" ht="13.5" x14ac:dyDescent="0.25">
      <c r="A81" s="314"/>
      <c r="B81" s="53" t="s">
        <v>56</v>
      </c>
      <c r="C81" s="53"/>
      <c r="D81" s="53"/>
      <c r="E81" s="162">
        <f>IF(M26&lt;&gt;0,(AB23*AB44)/(M22*Z44)-1,"")</f>
        <v>3.9745953698012704E-2</v>
      </c>
      <c r="F81" s="168" t="str">
        <f>IF(L81&lt;&gt;0,IF(L81&lt;0,"INCREASE","DECREASE"),"UNCHANGED")</f>
        <v>INCREASE</v>
      </c>
      <c r="G81" s="12"/>
      <c r="H81" s="83"/>
      <c r="I81" s="53"/>
      <c r="J81" s="128"/>
      <c r="K81" s="132" t="str">
        <f>CONCATENATE(M26,"/365 * [",ROUND(Z45,2),N22,"*",ROUND(Z44,2),X44,"-","(",ROUND(AJ45,2),N22,"+",ROUND((AB23-AJ45),2),N22,")*",ROUND(AB44,2),X44,"] =")</f>
        <v>31/365 * [1KT*1220.25$/TON-(0.86KT+0.14KT)*1268.75$/TON] =</v>
      </c>
      <c r="L81" s="134">
        <f>ROUND(M26/365*(L80),10)</f>
        <v>-4.1616437999999999E-3</v>
      </c>
      <c r="M81" s="158" t="str">
        <f>CONCATENATE(LOOKUP(1,J28:J30,M28:M30)," pa")</f>
        <v>M$ pa</v>
      </c>
      <c r="N81" s="161" t="str">
        <f>IF(L81&lt;&gt;0,IF(L81&lt;0,"LOSS","GAIN"),"")</f>
        <v>LOSS</v>
      </c>
      <c r="O81" s="116"/>
      <c r="P81" s="116"/>
      <c r="Q81" s="116"/>
      <c r="R81" s="116"/>
      <c r="S81" s="116"/>
      <c r="T81" s="116"/>
      <c r="U81" s="219"/>
      <c r="V81" s="220"/>
      <c r="W81" s="221"/>
      <c r="X81" s="222"/>
      <c r="Y81" s="222"/>
      <c r="Z81" s="222"/>
      <c r="AA81" s="222"/>
      <c r="AB81" s="222"/>
      <c r="AC81" s="222"/>
      <c r="AD81" s="222"/>
      <c r="AE81" s="222"/>
      <c r="AF81" s="123"/>
      <c r="AG81" s="123"/>
      <c r="AH81" s="123"/>
      <c r="AI81" s="123"/>
      <c r="AJ81" s="123"/>
      <c r="AK81" s="124"/>
      <c r="AL81" s="124"/>
      <c r="AM81" s="124"/>
      <c r="AN81" s="124"/>
      <c r="AO81" s="124"/>
      <c r="AP81" s="124"/>
      <c r="AQ81" s="124"/>
      <c r="AR81" s="124"/>
      <c r="AS81" s="124"/>
      <c r="AT81" s="124"/>
      <c r="AU81" s="124"/>
      <c r="AV81" s="124"/>
      <c r="AW81" s="124"/>
      <c r="AX81" s="124"/>
      <c r="AY81" s="124"/>
      <c r="AZ81" s="7"/>
      <c r="BA81" s="126"/>
      <c r="BB81" s="126"/>
      <c r="BC81" s="126"/>
      <c r="BD81" s="126"/>
      <c r="BE81" s="126"/>
      <c r="BF81" s="126"/>
      <c r="BG81" s="126"/>
      <c r="BH81" s="126"/>
      <c r="BI81" s="126"/>
      <c r="BJ81" s="314"/>
    </row>
    <row r="82" spans="1:62" ht="13.5" x14ac:dyDescent="0.25">
      <c r="A82" s="314"/>
      <c r="B82" s="130" t="s">
        <v>60</v>
      </c>
      <c r="C82" s="53"/>
      <c r="D82" s="130"/>
      <c r="E82" s="163">
        <f>AB23/M22-1</f>
        <v>0</v>
      </c>
      <c r="F82" s="168" t="str">
        <f>IF(L82&lt;&gt;0,IF(L82&lt;0,"INCREASE","DECREASE"),"UNCHANGED")</f>
        <v>UNCHANGED</v>
      </c>
      <c r="G82" s="12"/>
      <c r="H82" s="83"/>
      <c r="I82" s="53"/>
      <c r="J82" s="128"/>
      <c r="K82" s="132" t="str">
        <f>CONCATENATE(M27,N27," * ( ",M22,N22," - ",AB23,N22," ) =")</f>
        <v>50$/TON * ( 1KT - 1KT ) =</v>
      </c>
      <c r="L82" s="122">
        <f>ROUND((M22-AB23)*M27/LOOKUP(1,J28:J30,L28:L30),3)</f>
        <v>0</v>
      </c>
      <c r="M82" s="159" t="str">
        <f>CONCATENATE(LOOKUP(1,J28:J30,M28:M30)," pa")</f>
        <v>M$ pa</v>
      </c>
      <c r="N82" s="161" t="str">
        <f>IF(L82&lt;&gt;0,IF(L82&lt;0,"LOSS","GAIN"),"")</f>
        <v/>
      </c>
      <c r="O82" s="116"/>
      <c r="P82" s="116"/>
      <c r="Q82" s="116"/>
      <c r="R82" s="116"/>
      <c r="S82" s="116"/>
      <c r="T82" s="116"/>
      <c r="U82" s="219"/>
      <c r="V82" s="220"/>
      <c r="W82" s="221"/>
      <c r="X82" s="222"/>
      <c r="Y82" s="222"/>
      <c r="Z82" s="222"/>
      <c r="AA82" s="222"/>
      <c r="AB82" s="222"/>
      <c r="AC82" s="222"/>
      <c r="AD82" s="222"/>
      <c r="AE82" s="222"/>
      <c r="AF82" s="123"/>
      <c r="AG82" s="123"/>
      <c r="AH82" s="123"/>
      <c r="AI82" s="123"/>
      <c r="AJ82" s="123"/>
      <c r="AK82" s="124"/>
      <c r="AL82" s="124"/>
      <c r="AM82" s="124"/>
      <c r="AN82" s="124"/>
      <c r="AO82" s="124"/>
      <c r="AP82" s="124"/>
      <c r="AQ82" s="124"/>
      <c r="AR82" s="124"/>
      <c r="AS82" s="124"/>
      <c r="AT82" s="124"/>
      <c r="AU82" s="124"/>
      <c r="AV82" s="124"/>
      <c r="AW82" s="124"/>
      <c r="AX82" s="124"/>
      <c r="AY82" s="124"/>
      <c r="AZ82" s="7"/>
      <c r="BA82" s="126"/>
      <c r="BB82" s="126"/>
      <c r="BC82" s="126"/>
      <c r="BD82" s="126"/>
      <c r="BE82" s="126"/>
      <c r="BF82" s="126"/>
      <c r="BG82" s="126"/>
      <c r="BH82" s="126"/>
      <c r="BI82" s="126"/>
      <c r="BJ82" s="314"/>
    </row>
    <row r="83" spans="1:62" ht="13.5" x14ac:dyDescent="0.25">
      <c r="A83" s="314"/>
      <c r="B83" s="117"/>
      <c r="C83" s="53"/>
      <c r="D83" s="117"/>
      <c r="E83" s="162"/>
      <c r="F83" s="158"/>
      <c r="G83" s="12"/>
      <c r="H83" s="83"/>
      <c r="I83" s="53"/>
      <c r="J83" s="130"/>
      <c r="K83" s="117" t="s">
        <v>77</v>
      </c>
      <c r="L83" s="134">
        <f>SUM(L79:L82)</f>
        <v>0.19583835620000001</v>
      </c>
      <c r="M83" s="158" t="str">
        <f>CONCATENATE(LOOKUP(1,J28:J30,M28:M30)," pa")</f>
        <v>M$ pa</v>
      </c>
      <c r="N83" s="162" t="str">
        <f>IF(L83&lt;&gt;0,IF(L83&lt;0,"LOSS","GAIN"),"")</f>
        <v>GAIN</v>
      </c>
      <c r="O83" s="116"/>
      <c r="P83" s="116"/>
      <c r="Q83" s="116"/>
      <c r="R83" s="116"/>
      <c r="S83" s="116"/>
      <c r="T83" s="116"/>
      <c r="U83" s="219"/>
      <c r="V83" s="220"/>
      <c r="W83" s="221"/>
      <c r="X83" s="222"/>
      <c r="Y83" s="222"/>
      <c r="Z83" s="222"/>
      <c r="AA83" s="222"/>
      <c r="AB83" s="222"/>
      <c r="AC83" s="222"/>
      <c r="AD83" s="222"/>
      <c r="AE83" s="222"/>
      <c r="AF83" s="123"/>
      <c r="AG83" s="123"/>
      <c r="AH83" s="123"/>
      <c r="AI83" s="123"/>
      <c r="AJ83" s="123"/>
      <c r="AK83" s="124"/>
      <c r="AL83" s="124"/>
      <c r="AM83" s="124"/>
      <c r="AN83" s="124"/>
      <c r="AO83" s="124"/>
      <c r="AP83" s="124"/>
      <c r="AQ83" s="124"/>
      <c r="AR83" s="124"/>
      <c r="AS83" s="124"/>
      <c r="AT83" s="124"/>
      <c r="AU83" s="124"/>
      <c r="AV83" s="124"/>
      <c r="AW83" s="124"/>
      <c r="AX83" s="124"/>
      <c r="AY83" s="124"/>
      <c r="AZ83" s="7"/>
      <c r="BA83" s="126"/>
      <c r="BB83" s="126"/>
      <c r="BC83" s="126"/>
      <c r="BD83" s="126"/>
      <c r="BE83" s="126"/>
      <c r="BF83" s="126"/>
      <c r="BG83" s="126"/>
      <c r="BH83" s="126"/>
      <c r="BI83" s="126"/>
      <c r="BJ83" s="314"/>
    </row>
    <row r="84" spans="1:62" ht="13.5" x14ac:dyDescent="0.25">
      <c r="A84" s="314"/>
      <c r="B84" s="130"/>
      <c r="C84" s="53"/>
      <c r="D84" s="130"/>
      <c r="E84" s="130"/>
      <c r="F84" s="130"/>
      <c r="G84" s="12"/>
      <c r="H84" s="83"/>
      <c r="I84" s="53"/>
      <c r="J84" s="128"/>
      <c r="K84" s="128"/>
      <c r="L84" s="130"/>
      <c r="M84" s="159"/>
      <c r="N84" s="160"/>
      <c r="O84" s="116"/>
      <c r="P84" s="116"/>
      <c r="Q84" s="116"/>
      <c r="R84" s="116"/>
      <c r="S84" s="116"/>
      <c r="T84" s="116"/>
      <c r="U84" s="219"/>
      <c r="V84" s="220"/>
      <c r="W84" s="221"/>
      <c r="X84" s="222"/>
      <c r="Y84" s="222"/>
      <c r="Z84" s="222"/>
      <c r="AA84" s="222"/>
      <c r="AB84" s="222"/>
      <c r="AC84" s="222"/>
      <c r="AD84" s="222"/>
      <c r="AE84" s="222"/>
      <c r="AF84" s="123"/>
      <c r="AG84" s="123"/>
      <c r="AH84" s="123"/>
      <c r="AI84" s="123"/>
      <c r="AJ84" s="123"/>
      <c r="AK84" s="124"/>
      <c r="AL84" s="124"/>
      <c r="AM84" s="124"/>
      <c r="AN84" s="124"/>
      <c r="AO84" s="124"/>
      <c r="AP84" s="124"/>
      <c r="AQ84" s="124"/>
      <c r="AR84" s="124"/>
      <c r="AS84" s="124"/>
      <c r="AT84" s="124"/>
      <c r="AU84" s="124"/>
      <c r="AV84" s="124"/>
      <c r="AW84" s="124"/>
      <c r="AX84" s="124"/>
      <c r="AY84" s="124"/>
      <c r="AZ84" s="7"/>
      <c r="BA84" s="126"/>
      <c r="BB84" s="126"/>
      <c r="BC84" s="126"/>
      <c r="BD84" s="126"/>
      <c r="BE84" s="126"/>
      <c r="BF84" s="126"/>
      <c r="BG84" s="126"/>
      <c r="BH84" s="126"/>
      <c r="BI84" s="126"/>
      <c r="BJ84" s="314"/>
    </row>
    <row r="85" spans="1:62" ht="13.5" x14ac:dyDescent="0.25">
      <c r="A85" s="314"/>
      <c r="B85" s="136" t="str">
        <f>CONCATENATE("DOWNSTREAM PLAYERS BENEFITS - BUYING SAME ",LOOKUP(BA6,BC9:BC32,BG9:BG32))</f>
        <v>DOWNSTREAM PLAYERS BENEFITS - BUYING SAME sq m</v>
      </c>
      <c r="C85" s="53"/>
      <c r="D85" s="137"/>
      <c r="E85" s="137"/>
      <c r="F85" s="137"/>
      <c r="G85" s="12"/>
      <c r="H85" s="83"/>
      <c r="I85" s="53"/>
      <c r="J85" s="128"/>
      <c r="K85" s="137"/>
      <c r="L85" s="137"/>
      <c r="M85" s="130"/>
      <c r="N85" s="159"/>
      <c r="O85" s="116"/>
      <c r="P85" s="116"/>
      <c r="Q85" s="116"/>
      <c r="R85" s="116"/>
      <c r="S85" s="116"/>
      <c r="T85" s="116"/>
      <c r="U85" s="219"/>
      <c r="V85" s="220"/>
      <c r="W85" s="221"/>
      <c r="X85" s="222"/>
      <c r="Y85" s="222"/>
      <c r="Z85" s="222"/>
      <c r="AA85" s="222"/>
      <c r="AB85" s="222"/>
      <c r="AC85" s="222"/>
      <c r="AD85" s="222"/>
      <c r="AE85" s="222"/>
      <c r="AF85" s="123"/>
      <c r="AG85" s="123"/>
      <c r="AH85" s="123"/>
      <c r="AI85" s="123"/>
      <c r="AJ85" s="123"/>
      <c r="AK85" s="124"/>
      <c r="AL85" s="124"/>
      <c r="AM85" s="124"/>
      <c r="AN85" s="124"/>
      <c r="AO85" s="124"/>
      <c r="AP85" s="124"/>
      <c r="AQ85" s="124"/>
      <c r="AR85" s="124"/>
      <c r="AS85" s="124"/>
      <c r="AT85" s="124"/>
      <c r="AU85" s="124"/>
      <c r="AV85" s="124"/>
      <c r="AW85" s="124"/>
      <c r="AX85" s="124"/>
      <c r="AY85" s="124"/>
      <c r="AZ85" s="7"/>
      <c r="BA85" s="126"/>
      <c r="BB85" s="126"/>
      <c r="BC85" s="126"/>
      <c r="BD85" s="126"/>
      <c r="BE85" s="126"/>
      <c r="BF85" s="126"/>
      <c r="BG85" s="126"/>
      <c r="BH85" s="126"/>
      <c r="BI85" s="126"/>
      <c r="BJ85" s="314"/>
    </row>
    <row r="86" spans="1:62" ht="13.5" x14ac:dyDescent="0.25">
      <c r="A86" s="314"/>
      <c r="B86" s="130" t="s">
        <v>76</v>
      </c>
      <c r="C86" s="53"/>
      <c r="D86" s="130"/>
      <c r="E86" s="163">
        <f>(L76*AJ45)/(J60*Z45)-1</f>
        <v>2.4694209697084801E-6</v>
      </c>
      <c r="F86" s="168" t="str">
        <f>IF(L86&lt;&gt;0,IF(L86&lt;0,"INCREASE","DECREASE"),"UNCHANGED")</f>
        <v>UNCHANGED</v>
      </c>
      <c r="G86" s="12"/>
      <c r="H86" s="83"/>
      <c r="I86" s="53"/>
      <c r="J86" s="128"/>
      <c r="K86" s="240" t="str">
        <f>CONCATENATE(ROUND(J60,2),N22," * ",ROUND(Z45,2),N22," - ",ROUND(L76,2),N75," * ",ROUND(AJ45,2),N22," =")</f>
        <v>1586.33KT * 1KT - 1835.47 * 0.86KT =</v>
      </c>
      <c r="L86" s="122">
        <f>ROUND((J60*Z45-L76*AJ45)/LOOKUP(1,J28:J30,L28:L30),3)</f>
        <v>0</v>
      </c>
      <c r="M86" s="159" t="str">
        <f>CONCATENATE(LOOKUP(1,J28:J30,M28:M30)," pa")</f>
        <v>M$ pa</v>
      </c>
      <c r="N86" s="161" t="str">
        <f>IF(L86&lt;&gt;0,IF(L86&lt;0,"LOSS","GAIN"),"")</f>
        <v/>
      </c>
      <c r="O86" s="116"/>
      <c r="P86" s="116"/>
      <c r="Q86" s="116"/>
      <c r="R86" s="116"/>
      <c r="S86" s="116"/>
      <c r="T86" s="116"/>
      <c r="U86" s="219"/>
      <c r="V86" s="220"/>
      <c r="W86" s="221"/>
      <c r="X86" s="222"/>
      <c r="Y86" s="222"/>
      <c r="Z86" s="222"/>
      <c r="AA86" s="222"/>
      <c r="AB86" s="222"/>
      <c r="AC86" s="222"/>
      <c r="AD86" s="222"/>
      <c r="AE86" s="222"/>
      <c r="AF86" s="123"/>
      <c r="AG86" s="123"/>
      <c r="AH86" s="123"/>
      <c r="AI86" s="123"/>
      <c r="AJ86" s="123"/>
      <c r="AK86" s="124"/>
      <c r="AL86" s="124"/>
      <c r="AM86" s="124"/>
      <c r="AN86" s="124"/>
      <c r="AO86" s="124"/>
      <c r="AP86" s="124"/>
      <c r="AQ86" s="124"/>
      <c r="AR86" s="124"/>
      <c r="AS86" s="124"/>
      <c r="AT86" s="124"/>
      <c r="AU86" s="124"/>
      <c r="AV86" s="124"/>
      <c r="AW86" s="124"/>
      <c r="AX86" s="124"/>
      <c r="AY86" s="124"/>
      <c r="AZ86" s="7"/>
      <c r="BA86" s="126"/>
      <c r="BB86" s="126"/>
      <c r="BC86" s="126"/>
      <c r="BD86" s="126"/>
      <c r="BE86" s="126"/>
      <c r="BF86" s="126"/>
      <c r="BG86" s="126"/>
      <c r="BH86" s="126"/>
      <c r="BI86" s="126"/>
      <c r="BJ86" s="314"/>
    </row>
    <row r="87" spans="1:62" ht="13.5" x14ac:dyDescent="0.25">
      <c r="A87" s="314"/>
      <c r="B87" s="130" t="s">
        <v>56</v>
      </c>
      <c r="C87" s="53"/>
      <c r="D87" s="130"/>
      <c r="E87" s="163">
        <f>IF(M26&lt;&gt;0,(L76*AJ45)/(J60*Z45)-1,"")</f>
        <v>2.4694209697084801E-6</v>
      </c>
      <c r="F87" s="168" t="str">
        <f>IF(L87&lt;&gt;0,IF(L87&lt;0,"INCREASE","DECREASE"),"UNCHANGED")</f>
        <v>UNCHANGED</v>
      </c>
      <c r="G87" s="12"/>
      <c r="H87" s="83"/>
      <c r="I87" s="53"/>
      <c r="J87" s="128"/>
      <c r="K87" s="240" t="str">
        <f>CONCATENATE(M26," / 365 * ( ",J60,N22," * ",ROUND(Z45,2),N22," - ",ROUND(L76,2),N75," * ",ROUND(AJ45,2),N22," ) =")</f>
        <v>31 / 365 * ( 1586.33KT * 1KT - 1835.47 * 0.86KT ) =</v>
      </c>
      <c r="L87" s="122">
        <f>(L86*M26/365)</f>
        <v>0</v>
      </c>
      <c r="M87" s="159" t="str">
        <f>CONCATENATE(LOOKUP(1,J28:J30,M28:M30)," pa")</f>
        <v>M$ pa</v>
      </c>
      <c r="N87" s="161" t="str">
        <f>IF(L87&lt;&gt;0,IF(L87&lt;0,"LOSS","GAIN"),"")</f>
        <v/>
      </c>
      <c r="O87" s="116"/>
      <c r="P87" s="116"/>
      <c r="Q87" s="116"/>
      <c r="R87" s="116"/>
      <c r="S87" s="116"/>
      <c r="T87" s="116"/>
      <c r="U87" s="219"/>
      <c r="V87" s="220"/>
      <c r="W87" s="221"/>
      <c r="X87" s="222"/>
      <c r="Y87" s="222"/>
      <c r="Z87" s="222"/>
      <c r="AA87" s="222"/>
      <c r="AB87" s="222"/>
      <c r="AC87" s="222"/>
      <c r="AD87" s="222"/>
      <c r="AE87" s="222"/>
      <c r="AF87" s="123"/>
      <c r="AG87" s="123"/>
      <c r="AH87" s="123"/>
      <c r="AI87" s="123"/>
      <c r="AJ87" s="123"/>
      <c r="AK87" s="124"/>
      <c r="AL87" s="124"/>
      <c r="AM87" s="124"/>
      <c r="AN87" s="124"/>
      <c r="AO87" s="124"/>
      <c r="AP87" s="124"/>
      <c r="AQ87" s="124"/>
      <c r="AR87" s="124"/>
      <c r="AS87" s="124"/>
      <c r="AT87" s="124"/>
      <c r="AU87" s="124"/>
      <c r="AV87" s="124"/>
      <c r="AW87" s="124"/>
      <c r="AX87" s="124"/>
      <c r="AY87" s="124"/>
      <c r="AZ87" s="7"/>
      <c r="BA87" s="126"/>
      <c r="BB87" s="126"/>
      <c r="BC87" s="126"/>
      <c r="BD87" s="126"/>
      <c r="BE87" s="126"/>
      <c r="BF87" s="126"/>
      <c r="BG87" s="126"/>
      <c r="BH87" s="126"/>
      <c r="BI87" s="126"/>
      <c r="BJ87" s="314"/>
    </row>
    <row r="88" spans="1:62" ht="13.5" x14ac:dyDescent="0.25">
      <c r="A88" s="314"/>
      <c r="B88" s="137" t="str">
        <f>IF(AB27&lt;&gt;100%,"UNIT VALUE ADD","")</f>
        <v/>
      </c>
      <c r="C88" s="53"/>
      <c r="D88" s="130"/>
      <c r="E88" s="163" t="str">
        <f>IF(AB27&lt;&gt;100%,(AB27-1),"")</f>
        <v/>
      </c>
      <c r="F88" s="168" t="str">
        <f>IF(AB27&lt;&gt;100%,IF(L88&lt;&gt;0,IF(L88&lt;0,"DECREASE","INCREASE"),"UNCHANGED"),"")</f>
        <v/>
      </c>
      <c r="G88" s="12"/>
      <c r="H88" s="83"/>
      <c r="I88" s="53"/>
      <c r="J88" s="128"/>
      <c r="K88" s="240" t="str">
        <f>IF(AB27&lt;&gt;100%,CONCATENATE("(",ROUND(AB27,2)*100,"% - ","100%) * ",ROUND(J60,2),X44," * ",ROUND(AJ45,2),AC23," ="),"")</f>
        <v/>
      </c>
      <c r="L88" s="122" t="str">
        <f>IF(AB27&lt;&gt;100%,ROUND(((AB27-1)*J60*AJ45)/LOOKUP(1,J28:J30,L28:L30),3),"")</f>
        <v/>
      </c>
      <c r="M88" s="159" t="str">
        <f>IF(AB27&lt;&gt;100%,CONCATENATE(LOOKUP(1,J28:J30,M28:M30)," pa"),"")</f>
        <v/>
      </c>
      <c r="N88" s="161" t="str">
        <f>IF(AB27&lt;&gt;100%,IF(L88&lt;&gt;0,IF(L88&lt;0,"LOSS","GAIN"),""),"")</f>
        <v/>
      </c>
      <c r="O88" s="116"/>
      <c r="P88" s="116"/>
      <c r="Q88" s="116"/>
      <c r="R88" s="116"/>
      <c r="S88" s="116"/>
      <c r="T88" s="116"/>
      <c r="U88" s="219"/>
      <c r="V88" s="220"/>
      <c r="W88" s="221"/>
      <c r="X88" s="222"/>
      <c r="Y88" s="222"/>
      <c r="Z88" s="222"/>
      <c r="AA88" s="222"/>
      <c r="AB88" s="222"/>
      <c r="AC88" s="222"/>
      <c r="AD88" s="222"/>
      <c r="AE88" s="222"/>
      <c r="AF88" s="123"/>
      <c r="AG88" s="123"/>
      <c r="AH88" s="123"/>
      <c r="AI88" s="123"/>
      <c r="AJ88" s="123"/>
      <c r="AK88" s="124"/>
      <c r="AL88" s="124"/>
      <c r="AM88" s="124"/>
      <c r="AN88" s="124"/>
      <c r="AO88" s="124"/>
      <c r="AP88" s="124"/>
      <c r="AQ88" s="124"/>
      <c r="AR88" s="124"/>
      <c r="AS88" s="124"/>
      <c r="AT88" s="124"/>
      <c r="AU88" s="124"/>
      <c r="AV88" s="124"/>
      <c r="AW88" s="124"/>
      <c r="AX88" s="124"/>
      <c r="AY88" s="124"/>
      <c r="AZ88" s="7"/>
      <c r="BA88" s="126"/>
      <c r="BB88" s="126"/>
      <c r="BC88" s="126"/>
      <c r="BD88" s="126"/>
      <c r="BE88" s="126"/>
      <c r="BF88" s="126"/>
      <c r="BG88" s="126"/>
      <c r="BH88" s="126"/>
      <c r="BI88" s="126"/>
      <c r="BJ88" s="314"/>
    </row>
    <row r="89" spans="1:62" ht="13.5" x14ac:dyDescent="0.25">
      <c r="A89" s="314"/>
      <c r="B89" s="117"/>
      <c r="C89" s="53"/>
      <c r="D89" s="117"/>
      <c r="E89" s="163"/>
      <c r="F89" s="158"/>
      <c r="G89" s="12"/>
      <c r="H89" s="83"/>
      <c r="I89" s="53"/>
      <c r="J89" s="130"/>
      <c r="K89" s="117" t="s">
        <v>77</v>
      </c>
      <c r="L89" s="134">
        <f>SUM(L86:L88)</f>
        <v>0</v>
      </c>
      <c r="M89" s="158" t="str">
        <f>CONCATENATE(LOOKUP(1,J28:J30,M28:M30)," pa")</f>
        <v>M$ pa</v>
      </c>
      <c r="N89" s="162" t="str">
        <f>IF(L89&lt;&gt;0,IF(L89&lt;0,"LOSS","GAIN"),"")</f>
        <v/>
      </c>
      <c r="O89" s="116"/>
      <c r="P89" s="116"/>
      <c r="Q89" s="116"/>
      <c r="R89" s="116"/>
      <c r="S89" s="116"/>
      <c r="T89" s="116"/>
      <c r="U89" s="219"/>
      <c r="V89" s="220"/>
      <c r="W89" s="221"/>
      <c r="X89" s="222"/>
      <c r="Y89" s="222"/>
      <c r="Z89" s="222"/>
      <c r="AA89" s="222"/>
      <c r="AB89" s="222"/>
      <c r="AC89" s="222"/>
      <c r="AD89" s="222"/>
      <c r="AE89" s="222"/>
      <c r="AF89" s="123"/>
      <c r="AG89" s="123"/>
      <c r="AH89" s="123"/>
      <c r="AI89" s="123"/>
      <c r="AJ89" s="123"/>
      <c r="AK89" s="124"/>
      <c r="AL89" s="124"/>
      <c r="AM89" s="124"/>
      <c r="AN89" s="124"/>
      <c r="AO89" s="124"/>
      <c r="AP89" s="124"/>
      <c r="AQ89" s="124"/>
      <c r="AR89" s="124"/>
      <c r="AS89" s="124"/>
      <c r="AT89" s="124"/>
      <c r="AU89" s="124"/>
      <c r="AV89" s="124"/>
      <c r="AW89" s="124"/>
      <c r="AX89" s="124"/>
      <c r="AY89" s="124"/>
      <c r="AZ89" s="7"/>
      <c r="BA89" s="126"/>
      <c r="BB89" s="126"/>
      <c r="BC89" s="126"/>
      <c r="BD89" s="126"/>
      <c r="BE89" s="126"/>
      <c r="BF89" s="126"/>
      <c r="BG89" s="126"/>
      <c r="BH89" s="126"/>
      <c r="BI89" s="126"/>
      <c r="BJ89" s="314"/>
    </row>
    <row r="90" spans="1:62" ht="13.5" x14ac:dyDescent="0.25">
      <c r="A90" s="314"/>
      <c r="B90" s="130"/>
      <c r="C90" s="53"/>
      <c r="D90" s="130"/>
      <c r="E90" s="130"/>
      <c r="F90" s="130"/>
      <c r="G90" s="138"/>
      <c r="H90" s="83"/>
      <c r="I90" s="53"/>
      <c r="J90" s="128"/>
      <c r="K90" s="128"/>
      <c r="L90" s="122"/>
      <c r="M90" s="53"/>
      <c r="N90" s="53"/>
      <c r="O90" s="116"/>
      <c r="P90" s="116"/>
      <c r="Q90" s="116"/>
      <c r="R90" s="116"/>
      <c r="S90" s="116"/>
      <c r="T90" s="116"/>
      <c r="U90" s="219"/>
      <c r="V90" s="220"/>
      <c r="W90" s="221"/>
      <c r="X90" s="222"/>
      <c r="Y90" s="222"/>
      <c r="Z90" s="222"/>
      <c r="AA90" s="222"/>
      <c r="AB90" s="222"/>
      <c r="AC90" s="222"/>
      <c r="AD90" s="222"/>
      <c r="AE90" s="222"/>
      <c r="AF90" s="123"/>
      <c r="AG90" s="123"/>
      <c r="AH90" s="123"/>
      <c r="AI90" s="123"/>
      <c r="AJ90" s="123"/>
      <c r="AK90" s="124"/>
      <c r="AL90" s="124"/>
      <c r="AM90" s="124"/>
      <c r="AN90" s="124"/>
      <c r="AO90" s="124"/>
      <c r="AP90" s="124"/>
      <c r="AQ90" s="124"/>
      <c r="AR90" s="124"/>
      <c r="AS90" s="124"/>
      <c r="AT90" s="124"/>
      <c r="AU90" s="124"/>
      <c r="AV90" s="124"/>
      <c r="AW90" s="124"/>
      <c r="AX90" s="124"/>
      <c r="AY90" s="124"/>
      <c r="AZ90" s="7"/>
      <c r="BA90" s="126"/>
      <c r="BB90" s="126"/>
      <c r="BC90" s="126"/>
      <c r="BD90" s="126"/>
      <c r="BE90" s="126"/>
      <c r="BF90" s="126"/>
      <c r="BG90" s="126"/>
      <c r="BH90" s="126"/>
      <c r="BI90" s="126"/>
      <c r="BJ90" s="314"/>
    </row>
    <row r="91" spans="1:62" ht="3" customHeight="1" x14ac:dyDescent="0.25">
      <c r="A91" s="314"/>
      <c r="B91" s="116"/>
      <c r="C91" s="116"/>
      <c r="D91" s="116"/>
      <c r="E91" s="116"/>
      <c r="F91" s="140"/>
      <c r="G91" s="141"/>
      <c r="H91" s="141"/>
      <c r="I91" s="141"/>
      <c r="J91" s="127"/>
      <c r="K91" s="127"/>
      <c r="L91" s="116"/>
      <c r="M91" s="116"/>
      <c r="N91" s="116"/>
      <c r="O91" s="116"/>
      <c r="P91" s="116"/>
      <c r="Q91" s="116"/>
      <c r="R91" s="116"/>
      <c r="S91" s="116"/>
      <c r="T91" s="116"/>
      <c r="U91" s="219"/>
      <c r="V91" s="219"/>
      <c r="W91" s="219"/>
      <c r="X91" s="222"/>
      <c r="Y91" s="222"/>
      <c r="Z91" s="222"/>
      <c r="AA91" s="222"/>
      <c r="AB91" s="222"/>
      <c r="AC91" s="222"/>
      <c r="AD91" s="222"/>
      <c r="AE91" s="222"/>
      <c r="AF91" s="123"/>
      <c r="AG91" s="123"/>
      <c r="AH91" s="123"/>
      <c r="AI91" s="123"/>
      <c r="AJ91" s="123"/>
      <c r="AK91" s="124"/>
      <c r="AL91" s="124"/>
      <c r="AM91" s="124"/>
      <c r="AN91" s="124"/>
      <c r="AO91" s="124"/>
      <c r="AP91" s="124"/>
      <c r="AQ91" s="124"/>
      <c r="AR91" s="124"/>
      <c r="AS91" s="124"/>
      <c r="AT91" s="124"/>
      <c r="AU91" s="124"/>
      <c r="AV91" s="124"/>
      <c r="AW91" s="124"/>
      <c r="AX91" s="124"/>
      <c r="AY91" s="124"/>
      <c r="AZ91" s="7"/>
      <c r="BA91" s="126"/>
      <c r="BB91" s="126"/>
      <c r="BC91" s="126"/>
      <c r="BD91" s="126"/>
      <c r="BE91" s="126"/>
      <c r="BF91" s="126"/>
      <c r="BG91" s="126"/>
      <c r="BH91" s="126"/>
      <c r="BI91" s="126"/>
      <c r="BJ91" s="314"/>
    </row>
    <row r="92" spans="1:62" ht="13.5" x14ac:dyDescent="0.25">
      <c r="A92" s="314"/>
      <c r="B92" s="194" t="s">
        <v>69</v>
      </c>
      <c r="C92" s="117"/>
      <c r="D92" s="117"/>
      <c r="E92" s="118"/>
      <c r="F92" s="111"/>
      <c r="G92" s="111"/>
      <c r="H92" s="119"/>
      <c r="I92" s="120" t="s">
        <v>68</v>
      </c>
      <c r="J92" s="121">
        <f>AB24</f>
        <v>1725</v>
      </c>
      <c r="K92" s="120" t="str">
        <f>CONCATENATE(F8," =")</f>
        <v>$/TON =</v>
      </c>
      <c r="L92" s="121">
        <f>ROUND(L60+(J76-L60)*(J92-J60)/(L76-J60),3)</f>
        <v>104.03700000000001</v>
      </c>
      <c r="M92" s="235" t="str">
        <f>X41</f>
        <v>$ per 1000 sq m</v>
      </c>
      <c r="N92" s="235"/>
      <c r="O92" s="116"/>
      <c r="P92" s="116"/>
      <c r="Q92" s="116"/>
      <c r="R92" s="116"/>
      <c r="S92" s="116"/>
      <c r="T92" s="116"/>
      <c r="U92" s="219"/>
      <c r="V92" s="220"/>
      <c r="W92" s="221"/>
      <c r="X92" s="222"/>
      <c r="Y92" s="222"/>
      <c r="Z92" s="222"/>
      <c r="AA92" s="222"/>
      <c r="AB92" s="222"/>
      <c r="AC92" s="222"/>
      <c r="AD92" s="222"/>
      <c r="AE92" s="222"/>
      <c r="AF92" s="123"/>
      <c r="AG92" s="123"/>
      <c r="AH92" s="123"/>
      <c r="AI92" s="123"/>
      <c r="AJ92" s="123"/>
      <c r="AK92" s="124"/>
      <c r="AL92" s="124"/>
      <c r="AM92" s="124"/>
      <c r="AN92" s="124"/>
      <c r="AO92" s="124"/>
      <c r="AP92" s="124"/>
      <c r="AQ92" s="124"/>
      <c r="AR92" s="124"/>
      <c r="AS92" s="124"/>
      <c r="AT92" s="124"/>
      <c r="AU92" s="124"/>
      <c r="AV92" s="124"/>
      <c r="AW92" s="124"/>
      <c r="AX92" s="124"/>
      <c r="AY92" s="124"/>
      <c r="AZ92" s="7"/>
      <c r="BA92" s="126"/>
      <c r="BB92" s="126"/>
      <c r="BC92" s="126"/>
      <c r="BD92" s="126"/>
      <c r="BE92" s="126"/>
      <c r="BF92" s="126"/>
      <c r="BG92" s="126"/>
      <c r="BH92" s="126"/>
      <c r="BI92" s="126"/>
      <c r="BJ92" s="314"/>
    </row>
    <row r="93" spans="1:62" ht="13.5" x14ac:dyDescent="0.25">
      <c r="A93" s="314"/>
      <c r="B93" s="130"/>
      <c r="C93" s="53"/>
      <c r="D93" s="130"/>
      <c r="E93" s="130"/>
      <c r="F93" s="130"/>
      <c r="G93" s="130"/>
      <c r="H93" s="130"/>
      <c r="I93" s="130"/>
      <c r="J93" s="128"/>
      <c r="K93" s="128"/>
      <c r="L93" s="130"/>
      <c r="M93" s="130"/>
      <c r="N93" s="130"/>
      <c r="O93" s="116"/>
      <c r="P93" s="116"/>
      <c r="Q93" s="116"/>
      <c r="R93" s="116"/>
      <c r="S93" s="116"/>
      <c r="T93" s="116"/>
      <c r="U93" s="219"/>
      <c r="V93" s="220"/>
      <c r="W93" s="221"/>
      <c r="X93" s="222"/>
      <c r="Y93" s="222"/>
      <c r="Z93" s="222"/>
      <c r="AA93" s="222"/>
      <c r="AB93" s="222"/>
      <c r="AC93" s="222"/>
      <c r="AD93" s="222"/>
      <c r="AE93" s="222"/>
      <c r="AF93" s="123"/>
      <c r="AG93" s="123"/>
      <c r="AH93" s="123"/>
      <c r="AI93" s="123"/>
      <c r="AJ93" s="123"/>
      <c r="AK93" s="124"/>
      <c r="AL93" s="124"/>
      <c r="AM93" s="124"/>
      <c r="AN93" s="124"/>
      <c r="AO93" s="124"/>
      <c r="AP93" s="124"/>
      <c r="AQ93" s="124"/>
      <c r="AR93" s="124"/>
      <c r="AS93" s="124"/>
      <c r="AT93" s="124"/>
      <c r="AU93" s="124"/>
      <c r="AV93" s="124"/>
      <c r="AW93" s="124"/>
      <c r="AX93" s="124"/>
      <c r="AY93" s="124"/>
      <c r="AZ93" s="7"/>
      <c r="BA93" s="126"/>
      <c r="BB93" s="126"/>
      <c r="BC93" s="126"/>
      <c r="BD93" s="126"/>
      <c r="BE93" s="126"/>
      <c r="BF93" s="126"/>
      <c r="BG93" s="126"/>
      <c r="BH93" s="126"/>
      <c r="BI93" s="126"/>
      <c r="BJ93" s="314"/>
    </row>
    <row r="94" spans="1:62" ht="13.5" x14ac:dyDescent="0.25">
      <c r="A94" s="314"/>
      <c r="B94" s="142" t="str">
        <f>CONCATENATE("CONVERTER BENEFITS - ON ",AB23,N22," BUSINESS")</f>
        <v>CONVERTER BENEFITS - ON 1KT BUSINESS</v>
      </c>
      <c r="C94" s="53"/>
      <c r="D94" s="130"/>
      <c r="E94" s="130"/>
      <c r="F94" s="130"/>
      <c r="G94" s="130"/>
      <c r="H94" s="130"/>
      <c r="I94" s="130"/>
      <c r="J94" s="128"/>
      <c r="K94" s="130"/>
      <c r="L94" s="130"/>
      <c r="O94" s="116"/>
      <c r="P94" s="116"/>
      <c r="Q94" s="116"/>
      <c r="R94" s="116"/>
      <c r="S94" s="116"/>
      <c r="T94" s="116"/>
      <c r="U94" s="219"/>
      <c r="V94" s="220"/>
      <c r="W94" s="221"/>
      <c r="X94" s="222"/>
      <c r="Y94" s="222"/>
      <c r="Z94" s="222"/>
      <c r="AA94" s="222"/>
      <c r="AB94" s="222"/>
      <c r="AC94" s="222"/>
      <c r="AD94" s="222"/>
      <c r="AE94" s="222"/>
      <c r="AF94" s="123"/>
      <c r="AG94" s="123"/>
      <c r="AH94" s="123"/>
      <c r="AI94" s="123"/>
      <c r="AJ94" s="123"/>
      <c r="AK94" s="124"/>
      <c r="AL94" s="124"/>
      <c r="AM94" s="124"/>
      <c r="AN94" s="124"/>
      <c r="AO94" s="124"/>
      <c r="AP94" s="124"/>
      <c r="AQ94" s="124"/>
      <c r="AR94" s="124"/>
      <c r="AS94" s="124"/>
      <c r="AT94" s="124"/>
      <c r="AU94" s="124"/>
      <c r="AV94" s="124"/>
      <c r="AW94" s="124"/>
      <c r="AX94" s="124"/>
      <c r="AY94" s="124"/>
      <c r="AZ94" s="7"/>
      <c r="BA94" s="126"/>
      <c r="BB94" s="126"/>
      <c r="BC94" s="126"/>
      <c r="BD94" s="126"/>
      <c r="BE94" s="126"/>
      <c r="BF94" s="126"/>
      <c r="BG94" s="126"/>
      <c r="BH94" s="126"/>
      <c r="BI94" s="126"/>
      <c r="BJ94" s="314"/>
    </row>
    <row r="95" spans="1:62" ht="13.5" x14ac:dyDescent="0.25">
      <c r="A95" s="314"/>
      <c r="B95" s="130" t="s">
        <v>57</v>
      </c>
      <c r="C95" s="53"/>
      <c r="D95" s="130"/>
      <c r="E95" s="162">
        <f>(AB23*J92)/(M22*J60)-1</f>
        <v>8.741560709310181E-2</v>
      </c>
      <c r="F95" s="168" t="str">
        <f>IF(L95&lt;&gt;0,IF(L95&lt;0,"DECREASE","INCREASE"),"UNCHANGED")</f>
        <v>INCREASE</v>
      </c>
      <c r="G95" s="128"/>
      <c r="H95" s="130"/>
      <c r="I95" s="130"/>
      <c r="J95" s="128"/>
      <c r="K95" s="132" t="str">
        <f>CONCATENATE("( ",ROUND(AJ45,2),N22," + ",ROUND((AB23-AJ45),2),N22," ) * ",ROUND(J92,2),X44," - ",Z45,N22," * ",ROUND(J60,2),X44," =")</f>
        <v>( 0.86KT + 0.14KT ) * 1725$/TON - 1KT * 1586.33$/TON =</v>
      </c>
      <c r="L95" s="143">
        <f>ROUND((AB23*J92-M22*J60)/LOOKUP(1,J28:J30,L28:L30),3)</f>
        <v>0.13900000000000001</v>
      </c>
      <c r="M95" s="159" t="str">
        <f>CONCATENATE(LOOKUP(1,J28:J30,M28:M30)," pa")</f>
        <v>M$ pa</v>
      </c>
      <c r="N95" s="161" t="str">
        <f>IF(L95&lt;&gt;0,IF(L95&lt;0,"LOSS","GAIN"),"")</f>
        <v>GAIN</v>
      </c>
      <c r="O95" s="116"/>
      <c r="P95" s="116"/>
      <c r="Q95" s="116"/>
      <c r="R95" s="116"/>
      <c r="S95" s="116"/>
      <c r="T95" s="116"/>
      <c r="U95" s="219"/>
      <c r="V95" s="220"/>
      <c r="W95" s="221"/>
      <c r="X95" s="222"/>
      <c r="Y95" s="222"/>
      <c r="Z95" s="222"/>
      <c r="AA95" s="222"/>
      <c r="AB95" s="222"/>
      <c r="AC95" s="222"/>
      <c r="AD95" s="222"/>
      <c r="AE95" s="222"/>
      <c r="AF95" s="123"/>
      <c r="AG95" s="123"/>
      <c r="AH95" s="123"/>
      <c r="AI95" s="123"/>
      <c r="AJ95" s="123"/>
      <c r="AK95" s="124"/>
      <c r="AL95" s="124"/>
      <c r="AM95" s="124"/>
      <c r="AN95" s="124"/>
      <c r="AO95" s="124"/>
      <c r="AP95" s="124"/>
      <c r="AQ95" s="124"/>
      <c r="AR95" s="124"/>
      <c r="AS95" s="124"/>
      <c r="AT95" s="124"/>
      <c r="AU95" s="124"/>
      <c r="AV95" s="124"/>
      <c r="AW95" s="124"/>
      <c r="AX95" s="124"/>
      <c r="AY95" s="124"/>
      <c r="AZ95" s="7"/>
      <c r="BA95" s="126"/>
      <c r="BB95" s="126"/>
      <c r="BC95" s="126"/>
      <c r="BD95" s="126"/>
      <c r="BE95" s="126"/>
      <c r="BF95" s="126"/>
      <c r="BG95" s="126"/>
      <c r="BH95" s="126"/>
      <c r="BI95" s="126"/>
      <c r="BJ95" s="314"/>
    </row>
    <row r="96" spans="1:62" ht="13.5" x14ac:dyDescent="0.25">
      <c r="A96" s="314"/>
      <c r="B96" s="130" t="s">
        <v>55</v>
      </c>
      <c r="C96" s="53"/>
      <c r="D96" s="130"/>
      <c r="E96" s="162">
        <f>(AB23*AB44)/(M22*Z44)-1</f>
        <v>3.9745953698012704E-2</v>
      </c>
      <c r="F96" s="168" t="str">
        <f>IF(L96&lt;&gt;0,IF(L96&lt;0,"INCREASE","DECREASE"),"UNCHANGED")</f>
        <v>INCREASE</v>
      </c>
      <c r="G96" s="128"/>
      <c r="H96" s="130"/>
      <c r="I96" s="130"/>
      <c r="J96" s="144"/>
      <c r="K96" s="132" t="str">
        <f>CONCATENATE(Z45,N22," * ",ROUND(Z44,2),X44," - ","( ",ROUND(AJ45,2),N22," + ",ROUND((AB23-AJ45),2),N22," ) * ",ROUND(AB44,2),X44," =")</f>
        <v>1KT * 1220.25$/TON - ( 0.86KT + 0.14KT ) * 1268.75$/TON =</v>
      </c>
      <c r="L96" s="122">
        <f>ROUND((M22*Z44-AB23*AB44)/LOOKUP(1,J28:J30,L28:L30),3)</f>
        <v>-4.9000000000000002E-2</v>
      </c>
      <c r="M96" s="159" t="str">
        <f>CONCATENATE(LOOKUP(1,J28:J30,M28:M30)," pa")</f>
        <v>M$ pa</v>
      </c>
      <c r="N96" s="161" t="str">
        <f>IF(L96&lt;&gt;0,IF(L96&lt;0,"LOSS","GAIN"),"")</f>
        <v>LOSS</v>
      </c>
      <c r="O96" s="116"/>
      <c r="P96" s="116"/>
      <c r="Q96" s="116"/>
      <c r="R96" s="116"/>
      <c r="S96" s="116"/>
      <c r="T96" s="116"/>
      <c r="U96" s="219"/>
      <c r="V96" s="220"/>
      <c r="W96" s="221"/>
      <c r="X96" s="222"/>
      <c r="Y96" s="222"/>
      <c r="Z96" s="222"/>
      <c r="AA96" s="222"/>
      <c r="AB96" s="222"/>
      <c r="AC96" s="222"/>
      <c r="AD96" s="222"/>
      <c r="AE96" s="222"/>
      <c r="AF96" s="123"/>
      <c r="AG96" s="123"/>
      <c r="AH96" s="123"/>
      <c r="AI96" s="123"/>
      <c r="AJ96" s="123"/>
      <c r="AK96" s="124"/>
      <c r="AL96" s="124"/>
      <c r="AM96" s="124"/>
      <c r="AN96" s="124"/>
      <c r="AO96" s="124"/>
      <c r="AP96" s="124"/>
      <c r="AQ96" s="124"/>
      <c r="AR96" s="124"/>
      <c r="AS96" s="124"/>
      <c r="AT96" s="124"/>
      <c r="AU96" s="124"/>
      <c r="AV96" s="124"/>
      <c r="AW96" s="124"/>
      <c r="AX96" s="124"/>
      <c r="AY96" s="124"/>
      <c r="AZ96" s="7"/>
      <c r="BA96" s="126"/>
      <c r="BB96" s="126"/>
      <c r="BC96" s="126"/>
      <c r="BD96" s="126"/>
      <c r="BE96" s="126"/>
      <c r="BF96" s="126"/>
      <c r="BG96" s="126"/>
      <c r="BH96" s="126"/>
      <c r="BI96" s="126"/>
      <c r="BJ96" s="314"/>
    </row>
    <row r="97" spans="1:62" ht="13.5" x14ac:dyDescent="0.25">
      <c r="A97" s="314"/>
      <c r="B97" s="130" t="s">
        <v>56</v>
      </c>
      <c r="C97" s="148"/>
      <c r="D97" s="130"/>
      <c r="E97" s="162">
        <f>IF(M26&lt;&gt;0,(AB23*AB44)/(M22*Z44)-1,"")</f>
        <v>3.9745953698012704E-2</v>
      </c>
      <c r="F97" s="168" t="str">
        <f>IF(L97&lt;&gt;0,IF(L97&lt;0,"INCREASE","DECREASE"),"UNCHANGED")</f>
        <v>INCREASE</v>
      </c>
      <c r="G97" s="128"/>
      <c r="H97" s="145"/>
      <c r="I97" s="145"/>
      <c r="J97" s="137"/>
      <c r="K97" s="132" t="str">
        <f>CONCATENATE(M26,"/365 * [",Z45,N22,"*",ROUND(Z44,2),X44,"-","(",ROUND(AJ45,2),N22,"+",ROUND((AB23-AJ45),2),N22,")*",ROUND(AB44,2),X44,"] =")</f>
        <v>31/365 * [1KT*1220.25$/TON-(0.86KT+0.14KT)*1268.75$/TON] =</v>
      </c>
      <c r="L97" s="122">
        <f>ROUND(M26/365*(L96),10)</f>
        <v>-4.1616437999999999E-3</v>
      </c>
      <c r="M97" s="159" t="str">
        <f>CONCATENATE(LOOKUP(1,J28:J30,M28:M30)," pa")</f>
        <v>M$ pa</v>
      </c>
      <c r="N97" s="161" t="str">
        <f>IF(L97&lt;&gt;0,IF(L97&lt;0,"LOSS","GAIN"),"")</f>
        <v>LOSS</v>
      </c>
      <c r="O97" s="116"/>
      <c r="P97" s="116"/>
      <c r="Q97" s="116"/>
      <c r="R97" s="116"/>
      <c r="S97" s="116"/>
      <c r="T97" s="116"/>
      <c r="U97" s="219"/>
      <c r="V97" s="226"/>
      <c r="W97" s="221"/>
      <c r="X97" s="222"/>
      <c r="Y97" s="222"/>
      <c r="Z97" s="222"/>
      <c r="AA97" s="222"/>
      <c r="AB97" s="222"/>
      <c r="AC97" s="222"/>
      <c r="AD97" s="222"/>
      <c r="AE97" s="222"/>
      <c r="AF97" s="123"/>
      <c r="AG97" s="123"/>
      <c r="AH97" s="123"/>
      <c r="AI97" s="123"/>
      <c r="AJ97" s="123"/>
      <c r="AK97" s="103"/>
      <c r="AL97" s="103"/>
      <c r="AM97" s="146"/>
      <c r="AN97" s="147"/>
      <c r="AO97" s="103"/>
      <c r="AP97" s="103"/>
      <c r="AQ97" s="315"/>
      <c r="AR97" s="315"/>
      <c r="AS97" s="315"/>
      <c r="AT97" s="315"/>
      <c r="AU97" s="315"/>
      <c r="AV97" s="315"/>
      <c r="AW97" s="315"/>
      <c r="AX97" s="316"/>
      <c r="AY97" s="316"/>
      <c r="AZ97" s="103"/>
      <c r="BA97" s="103"/>
      <c r="BB97" s="103"/>
      <c r="BC97" s="103"/>
      <c r="BD97" s="103"/>
      <c r="BE97" s="103"/>
      <c r="BF97" s="103"/>
      <c r="BG97" s="103"/>
      <c r="BH97" s="103"/>
      <c r="BI97" s="103"/>
      <c r="BJ97" s="314"/>
    </row>
    <row r="98" spans="1:62" ht="13.5" x14ac:dyDescent="0.25">
      <c r="A98" s="314"/>
      <c r="B98" s="130" t="s">
        <v>60</v>
      </c>
      <c r="C98" s="53"/>
      <c r="D98" s="130"/>
      <c r="E98" s="163">
        <f>AB23/M22-1</f>
        <v>0</v>
      </c>
      <c r="F98" s="168" t="str">
        <f>IF(L98&lt;&gt;0,IF(L98&lt;0,"INCREASE","DECREASE"),"UNCHANGED")</f>
        <v>UNCHANGED</v>
      </c>
      <c r="G98" s="128"/>
      <c r="H98" s="130"/>
      <c r="I98" s="130"/>
      <c r="J98" s="137"/>
      <c r="K98" s="132" t="str">
        <f>CONCATENATE(M27,N27," * ( ",ROUND(M22,2),N22," - ",ROUND(AB23,2),N22," ) =")</f>
        <v>50$/TON * ( 1KT - 1KT ) =</v>
      </c>
      <c r="L98" s="122">
        <f>ROUND((M22-AB23)*M27/LOOKUP(1,J28:J30,L28:L30),3)</f>
        <v>0</v>
      </c>
      <c r="M98" s="159" t="str">
        <f>CONCATENATE(LOOKUP(1,J28:J30,M28:M30)," pa")</f>
        <v>M$ pa</v>
      </c>
      <c r="N98" s="161" t="str">
        <f>IF(L98&lt;&gt;0,IF(L98&lt;0,"LOSS","GAIN"),"")</f>
        <v/>
      </c>
      <c r="O98" s="116"/>
      <c r="P98" s="116"/>
      <c r="Q98" s="116"/>
      <c r="R98" s="116"/>
      <c r="S98" s="116"/>
      <c r="T98" s="116"/>
      <c r="U98" s="219"/>
      <c r="V98" s="220"/>
      <c r="W98" s="221"/>
      <c r="X98" s="222"/>
      <c r="Y98" s="222"/>
      <c r="Z98" s="222"/>
      <c r="AA98" s="222"/>
      <c r="AB98" s="222"/>
      <c r="AC98" s="222"/>
      <c r="AD98" s="222"/>
      <c r="AE98" s="222"/>
      <c r="AF98" s="123"/>
      <c r="AG98" s="123"/>
      <c r="AH98" s="123"/>
      <c r="AI98" s="123"/>
      <c r="AJ98" s="123"/>
      <c r="AK98" s="7"/>
      <c r="AL98" s="7"/>
      <c r="AM98" s="101"/>
      <c r="AN98" s="149"/>
      <c r="AO98" s="7"/>
      <c r="AP98" s="7"/>
      <c r="AQ98" s="101"/>
      <c r="AR98" s="101"/>
      <c r="AS98" s="101"/>
      <c r="AT98" s="101"/>
      <c r="AU98" s="101"/>
      <c r="AV98" s="101"/>
      <c r="AW98" s="101"/>
      <c r="AX98" s="101"/>
      <c r="AY98" s="149"/>
      <c r="AZ98" s="7"/>
      <c r="BA98" s="7"/>
      <c r="BB98" s="7"/>
      <c r="BC98" s="7"/>
      <c r="BD98" s="7"/>
      <c r="BE98" s="7"/>
      <c r="BF98" s="7"/>
      <c r="BG98" s="7"/>
      <c r="BH98" s="7"/>
      <c r="BI98" s="7"/>
      <c r="BJ98" s="314"/>
    </row>
    <row r="99" spans="1:62" ht="13.5" x14ac:dyDescent="0.25">
      <c r="A99" s="314"/>
      <c r="B99" s="117"/>
      <c r="C99" s="53"/>
      <c r="D99" s="117"/>
      <c r="E99" s="163"/>
      <c r="F99" s="158"/>
      <c r="G99" s="128"/>
      <c r="H99" s="130"/>
      <c r="I99" s="130"/>
      <c r="J99" s="137"/>
      <c r="K99" s="117" t="s">
        <v>77</v>
      </c>
      <c r="L99" s="122">
        <f>SUM(L95:L98)</f>
        <v>8.5838356200000007E-2</v>
      </c>
      <c r="M99" s="159" t="str">
        <f>CONCATENATE(LOOKUP(1,J28:J30,M28:M30)," pa")</f>
        <v>M$ pa</v>
      </c>
      <c r="N99" s="162" t="str">
        <f>IF(L99&lt;&gt;0,IF(L99&lt;0,"LOSS","GAIN"),"")</f>
        <v>GAIN</v>
      </c>
      <c r="O99" s="116"/>
      <c r="P99" s="116"/>
      <c r="Q99" s="116"/>
      <c r="R99" s="116"/>
      <c r="S99" s="116"/>
      <c r="T99" s="116"/>
      <c r="U99" s="219"/>
      <c r="V99" s="220"/>
      <c r="W99" s="221"/>
      <c r="X99" s="222"/>
      <c r="Y99" s="222"/>
      <c r="Z99" s="222"/>
      <c r="AA99" s="222"/>
      <c r="AB99" s="222"/>
      <c r="AC99" s="222"/>
      <c r="AD99" s="222"/>
      <c r="AE99" s="222"/>
      <c r="AF99" s="123"/>
      <c r="AG99" s="123"/>
      <c r="AH99" s="123"/>
      <c r="AI99" s="123"/>
      <c r="AJ99" s="123"/>
      <c r="AK99" s="7"/>
      <c r="AL99" s="7"/>
      <c r="AM99" s="101"/>
      <c r="AN99" s="149"/>
      <c r="AO99" s="7"/>
      <c r="AP99" s="7"/>
      <c r="AQ99" s="101"/>
      <c r="AR99" s="101"/>
      <c r="AS99" s="101"/>
      <c r="AT99" s="101"/>
      <c r="AU99" s="101"/>
      <c r="AV99" s="101"/>
      <c r="AW99" s="101"/>
      <c r="AX99" s="101"/>
      <c r="AY99" s="149"/>
      <c r="AZ99" s="7"/>
      <c r="BA99" s="7"/>
      <c r="BB99" s="7"/>
      <c r="BC99" s="7"/>
      <c r="BD99" s="7"/>
      <c r="BE99" s="7"/>
      <c r="BF99" s="7"/>
      <c r="BG99" s="7"/>
      <c r="BH99" s="7"/>
      <c r="BI99" s="7"/>
      <c r="BJ99" s="314"/>
    </row>
    <row r="100" spans="1:62" ht="13.5" x14ac:dyDescent="0.25">
      <c r="A100" s="314"/>
      <c r="B100" s="130"/>
      <c r="C100" s="53"/>
      <c r="D100" s="130"/>
      <c r="E100" s="130"/>
      <c r="F100" s="130"/>
      <c r="G100" s="130"/>
      <c r="H100" s="130"/>
      <c r="I100" s="130"/>
      <c r="J100" s="137"/>
      <c r="K100" s="128"/>
      <c r="L100" s="130"/>
      <c r="M100" s="159"/>
      <c r="N100" s="160"/>
      <c r="O100" s="116"/>
      <c r="P100" s="116"/>
      <c r="Q100" s="116"/>
      <c r="R100" s="116"/>
      <c r="S100" s="116"/>
      <c r="T100" s="116"/>
      <c r="U100" s="116"/>
      <c r="V100" s="7"/>
      <c r="W100" s="135"/>
      <c r="X100" s="123"/>
      <c r="Y100" s="123"/>
      <c r="Z100" s="123"/>
      <c r="AA100" s="123"/>
      <c r="AB100" s="123"/>
      <c r="AC100" s="123"/>
      <c r="AD100" s="123"/>
      <c r="AE100" s="123"/>
      <c r="AF100" s="123"/>
      <c r="AG100" s="123"/>
      <c r="AH100" s="123"/>
      <c r="AI100" s="123"/>
      <c r="AJ100" s="123"/>
      <c r="AK100" s="7"/>
      <c r="AL100" s="7"/>
      <c r="AM100" s="101"/>
      <c r="AN100" s="102"/>
      <c r="AO100" s="7"/>
      <c r="AP100" s="7"/>
      <c r="AQ100" s="101"/>
      <c r="AR100" s="101"/>
      <c r="AS100" s="101"/>
      <c r="AT100" s="101"/>
      <c r="AU100" s="101"/>
      <c r="AV100" s="101"/>
      <c r="AW100" s="101"/>
      <c r="AX100" s="101"/>
      <c r="AY100" s="102"/>
      <c r="AZ100" s="7"/>
      <c r="BA100" s="7"/>
      <c r="BB100" s="7"/>
      <c r="BC100" s="7"/>
      <c r="BD100" s="7"/>
      <c r="BE100" s="7"/>
      <c r="BF100" s="7"/>
      <c r="BG100" s="7"/>
      <c r="BH100" s="7"/>
      <c r="BI100" s="7"/>
      <c r="BJ100" s="314"/>
    </row>
    <row r="101" spans="1:62" ht="13.5" x14ac:dyDescent="0.25">
      <c r="A101" s="314"/>
      <c r="B101" s="136" t="str">
        <f>CONCATENATE("DOWNSTREAM PLAYERS BENEFITS - BUYING SAME ",LOOKUP(BA6,BC9:BC32,BG9:BG32))</f>
        <v>DOWNSTREAM PLAYERS BENEFITS - BUYING SAME sq m</v>
      </c>
      <c r="C101" s="53"/>
      <c r="D101" s="137"/>
      <c r="E101" s="137"/>
      <c r="F101" s="137"/>
      <c r="G101" s="137"/>
      <c r="H101" s="130"/>
      <c r="I101" s="130"/>
      <c r="J101" s="137"/>
      <c r="K101" s="128"/>
      <c r="L101" s="137"/>
      <c r="M101" s="159"/>
      <c r="N101" s="160"/>
      <c r="O101" s="116"/>
      <c r="P101" s="116"/>
      <c r="Q101" s="116"/>
      <c r="R101" s="116"/>
      <c r="S101" s="116"/>
      <c r="T101" s="116"/>
      <c r="U101" s="116"/>
      <c r="V101" s="7"/>
      <c r="W101" s="135"/>
      <c r="X101" s="123"/>
      <c r="Y101" s="123"/>
      <c r="Z101" s="123"/>
      <c r="AA101" s="123"/>
      <c r="AB101" s="123"/>
      <c r="AC101" s="123"/>
      <c r="AD101" s="123"/>
      <c r="AE101" s="123"/>
      <c r="AF101" s="123"/>
      <c r="AG101" s="123"/>
      <c r="AH101" s="123"/>
      <c r="AI101" s="123"/>
      <c r="AJ101" s="123"/>
      <c r="AK101" s="7"/>
      <c r="AL101" s="7"/>
      <c r="AM101" s="101"/>
      <c r="AN101" s="150"/>
      <c r="AO101" s="7"/>
      <c r="AP101" s="7"/>
      <c r="AQ101" s="101"/>
      <c r="AR101" s="101"/>
      <c r="AS101" s="101"/>
      <c r="AT101" s="101"/>
      <c r="AU101" s="101"/>
      <c r="AV101" s="101"/>
      <c r="AW101" s="101"/>
      <c r="AX101" s="101"/>
      <c r="AY101" s="150"/>
      <c r="AZ101" s="7"/>
      <c r="BA101" s="7"/>
      <c r="BB101" s="7"/>
      <c r="BC101" s="7"/>
      <c r="BD101" s="7"/>
      <c r="BE101" s="7"/>
      <c r="BF101" s="7"/>
      <c r="BG101" s="7"/>
      <c r="BH101" s="7"/>
      <c r="BI101" s="7"/>
      <c r="BJ101" s="314"/>
    </row>
    <row r="102" spans="1:62" ht="13.5" x14ac:dyDescent="0.25">
      <c r="A102" s="314"/>
      <c r="B102" s="130" t="s">
        <v>76</v>
      </c>
      <c r="C102" s="53"/>
      <c r="D102" s="130"/>
      <c r="E102" s="163">
        <f>(J92*AJ45)/(J60*Z45)-1</f>
        <v>-6.0183898537610192E-2</v>
      </c>
      <c r="F102" s="168" t="str">
        <f>IF(L102&lt;&gt;0,IF(L102&lt;0,"INCREASE","DECREASE"),"UNCHANGED")</f>
        <v>DECREASE</v>
      </c>
      <c r="G102" s="128"/>
      <c r="H102" s="130"/>
      <c r="I102" s="130"/>
      <c r="J102" s="137"/>
      <c r="K102" s="240" t="str">
        <f>CONCATENATE(ROUND(J60,2),N22," * ",ROUND(Z45,2),N22," - ",ROUND(J92,2),N75," * ",ROUND(AJ45,2),N22," =")</f>
        <v>1586.33KT * 1KT - 1725 * 0.86KT =</v>
      </c>
      <c r="L102" s="122">
        <f>ROUND((J60*Z45-J92*AJ45)/LOOKUP(1,J28:J30,L28:L30),3)</f>
        <v>9.5000000000000001E-2</v>
      </c>
      <c r="M102" s="159" t="str">
        <f>CONCATENATE(LOOKUP(1,J28:J30,M28:M30)," pa")</f>
        <v>M$ pa</v>
      </c>
      <c r="N102" s="161" t="str">
        <f>IF(L102&lt;&gt;0,IF(L102&lt;0,"LOSS","GAIN"),"")</f>
        <v>GAIN</v>
      </c>
      <c r="O102" s="116"/>
      <c r="P102" s="116"/>
      <c r="Q102" s="116"/>
      <c r="R102" s="116"/>
      <c r="S102" s="116"/>
      <c r="T102" s="116"/>
      <c r="U102" s="116"/>
      <c r="V102" s="7"/>
      <c r="W102" s="135"/>
      <c r="X102" s="123"/>
      <c r="Y102" s="123"/>
      <c r="Z102" s="123"/>
      <c r="AA102" s="123"/>
      <c r="AB102" s="123"/>
      <c r="AC102" s="123"/>
      <c r="AD102" s="123"/>
      <c r="AE102" s="123"/>
      <c r="AF102" s="123"/>
      <c r="AG102" s="123"/>
      <c r="AH102" s="123"/>
      <c r="AI102" s="123"/>
      <c r="AJ102" s="123"/>
      <c r="AK102" s="7"/>
      <c r="AL102" s="7"/>
      <c r="AM102" s="7"/>
      <c r="AN102" s="7"/>
      <c r="AO102" s="7"/>
      <c r="AP102" s="7"/>
      <c r="AQ102" s="7"/>
      <c r="AR102" s="7"/>
      <c r="AS102" s="7"/>
      <c r="AT102" s="7"/>
      <c r="AU102" s="7"/>
      <c r="AV102" s="7"/>
      <c r="AW102" s="7"/>
      <c r="AX102" s="7"/>
      <c r="AY102" s="7"/>
      <c r="AZ102" s="300"/>
      <c r="BA102" s="7"/>
      <c r="BB102" s="7"/>
      <c r="BC102" s="7"/>
      <c r="BD102" s="7"/>
      <c r="BE102" s="7"/>
      <c r="BF102" s="7"/>
      <c r="BG102" s="7"/>
      <c r="BH102" s="7"/>
      <c r="BI102" s="7"/>
      <c r="BJ102" s="314"/>
    </row>
    <row r="103" spans="1:62" ht="13.5" x14ac:dyDescent="0.25">
      <c r="A103" s="314"/>
      <c r="B103" s="130" t="s">
        <v>56</v>
      </c>
      <c r="C103" s="153"/>
      <c r="D103" s="130"/>
      <c r="E103" s="163">
        <f>IF(M26&lt;&gt;0,(J92*AJ45)/(J60*Z45)-1,"")</f>
        <v>-6.0183898537610192E-2</v>
      </c>
      <c r="F103" s="168" t="str">
        <f>IF(L103&lt;&gt;0,IF(L103&lt;0,"INCREASE","DECREASE"),"UNCHANGED")</f>
        <v>DECREASE</v>
      </c>
      <c r="G103" s="128"/>
      <c r="H103" s="151"/>
      <c r="I103" s="151"/>
      <c r="J103" s="137"/>
      <c r="K103" s="240" t="str">
        <f>CONCATENATE(M26," / 365 * ( ",ROUND(J60,2),N22," * ",ROUND(Z45,2),N22," - ",ROUND(J92,2),N75," * ",ROUND(AJ45,2),N22," ) =")</f>
        <v>31 / 365 * ( 1586.33KT * 1KT - 1725 * 0.86KT ) =</v>
      </c>
      <c r="L103" s="122">
        <f>(L102*M26/365)</f>
        <v>8.068493150684931E-3</v>
      </c>
      <c r="M103" s="159" t="str">
        <f>CONCATENATE(LOOKUP(1,J28:J30,M28:M30)," pa")</f>
        <v>M$ pa</v>
      </c>
      <c r="N103" s="161" t="str">
        <f>IF(L103&lt;&gt;0,IF(L103&lt;0,"LOSS","GAIN"),"")</f>
        <v>GAIN</v>
      </c>
      <c r="O103" s="116"/>
      <c r="P103" s="116"/>
      <c r="Q103" s="116"/>
      <c r="R103" s="116"/>
      <c r="S103" s="116"/>
      <c r="T103" s="116"/>
      <c r="U103" s="116"/>
      <c r="V103" s="90"/>
      <c r="W103" s="135"/>
      <c r="X103" s="123"/>
      <c r="Y103" s="123"/>
      <c r="Z103" s="123"/>
      <c r="AA103" s="123"/>
      <c r="AB103" s="123"/>
      <c r="AC103" s="123"/>
      <c r="AD103" s="123"/>
      <c r="AE103" s="123"/>
      <c r="AF103" s="123"/>
      <c r="AG103" s="123"/>
      <c r="AH103" s="123"/>
      <c r="AI103" s="123"/>
      <c r="AJ103" s="123"/>
      <c r="AK103" s="90"/>
      <c r="AL103" s="7"/>
      <c r="AM103" s="152"/>
      <c r="AN103" s="81"/>
      <c r="AO103" s="7"/>
      <c r="AP103" s="7"/>
      <c r="AQ103" s="90"/>
      <c r="AR103" s="90"/>
      <c r="AS103" s="90"/>
      <c r="AT103" s="90"/>
      <c r="AU103" s="90"/>
      <c r="AV103" s="90"/>
      <c r="AW103" s="90"/>
      <c r="AX103" s="152"/>
      <c r="AY103" s="81"/>
      <c r="AZ103" s="89"/>
      <c r="BA103" s="90"/>
      <c r="BB103" s="90"/>
      <c r="BC103" s="90"/>
      <c r="BD103" s="90"/>
      <c r="BE103" s="90"/>
      <c r="BF103" s="90"/>
      <c r="BG103" s="90"/>
      <c r="BH103" s="90"/>
      <c r="BI103" s="90"/>
      <c r="BJ103" s="314"/>
    </row>
    <row r="104" spans="1:62" ht="13.5" x14ac:dyDescent="0.25">
      <c r="A104" s="314"/>
      <c r="B104" s="137" t="str">
        <f>IF(AB27&lt;&gt;100%,"UNIT VALUE ADD","")</f>
        <v/>
      </c>
      <c r="C104" s="153"/>
      <c r="D104" s="130"/>
      <c r="E104" s="163" t="str">
        <f>IF(AB27&lt;&gt;100%,(AB27-1),"")</f>
        <v/>
      </c>
      <c r="F104" s="168" t="str">
        <f>IF(AB27&lt;&gt;100%,IF(L104&lt;&gt;0,IF(L104&lt;0,"DECREASE","INCREASE"),"UNCHANGED"),"")</f>
        <v/>
      </c>
      <c r="G104" s="128"/>
      <c r="H104" s="151"/>
      <c r="I104" s="151"/>
      <c r="J104" s="137"/>
      <c r="K104" s="240" t="str">
        <f>IF(AB27&lt;&gt;100%,CONCATENATE("(",ROUND(AB27,2)*100,"% - ","100%) * ",ROUND(J60,2),X44," * ",ROUND(AJ45,2),AC23," ="),"")</f>
        <v/>
      </c>
      <c r="L104" s="122" t="str">
        <f>IF(AB27&lt;&gt;100%,ROUND(((AB27-1)*J60*AJ45)/LOOKUP(1,J28:J30,L28:L30),3),"")</f>
        <v/>
      </c>
      <c r="M104" s="159" t="str">
        <f>IF(AB27&lt;&gt;100%,CONCATENATE(LOOKUP(1,J28:J30,M28:M30)," pa"),"")</f>
        <v/>
      </c>
      <c r="N104" s="161" t="str">
        <f>IF(AB27&lt;&gt;100%,IF(L104&lt;&gt;0,IF(L104&lt;0,"LOSS","GAIN"),""),"")</f>
        <v/>
      </c>
      <c r="O104" s="116"/>
      <c r="P104" s="116"/>
      <c r="Q104" s="116"/>
      <c r="R104" s="116"/>
      <c r="S104" s="116"/>
      <c r="T104" s="116"/>
      <c r="U104" s="116"/>
      <c r="V104" s="90"/>
      <c r="W104" s="135"/>
      <c r="X104" s="123"/>
      <c r="Y104" s="123"/>
      <c r="Z104" s="123"/>
      <c r="AA104" s="123"/>
      <c r="AB104" s="123"/>
      <c r="AC104" s="123"/>
      <c r="AD104" s="123"/>
      <c r="AE104" s="123"/>
      <c r="AF104" s="123"/>
      <c r="AG104" s="123"/>
      <c r="AH104" s="123"/>
      <c r="AI104" s="123"/>
      <c r="AJ104" s="123"/>
      <c r="AK104" s="90"/>
      <c r="AL104" s="7"/>
      <c r="AM104" s="90"/>
      <c r="AN104" s="90"/>
      <c r="AO104" s="90"/>
      <c r="AP104" s="90"/>
      <c r="AQ104" s="90"/>
      <c r="AR104" s="90"/>
      <c r="AS104" s="90"/>
      <c r="AT104" s="90"/>
      <c r="AU104" s="90"/>
      <c r="AV104" s="90"/>
      <c r="AW104" s="90"/>
      <c r="AX104" s="90"/>
      <c r="AY104" s="90"/>
      <c r="AZ104" s="89"/>
      <c r="BA104" s="90"/>
      <c r="BB104" s="90"/>
      <c r="BC104" s="90"/>
      <c r="BD104" s="90"/>
      <c r="BE104" s="90"/>
      <c r="BF104" s="90"/>
      <c r="BG104" s="90"/>
      <c r="BH104" s="90"/>
      <c r="BI104" s="90"/>
      <c r="BJ104" s="314"/>
    </row>
    <row r="105" spans="1:62" ht="13.5" x14ac:dyDescent="0.25">
      <c r="A105" s="314"/>
      <c r="B105" s="117"/>
      <c r="C105" s="53"/>
      <c r="D105" s="117"/>
      <c r="E105" s="163"/>
      <c r="F105" s="158"/>
      <c r="G105" s="128"/>
      <c r="H105" s="130"/>
      <c r="I105" s="130"/>
      <c r="J105" s="137"/>
      <c r="K105" s="117" t="s">
        <v>77</v>
      </c>
      <c r="L105" s="122">
        <f>SUM(L102:L104)</f>
        <v>0.10306849315068493</v>
      </c>
      <c r="M105" s="159" t="str">
        <f>CONCATENATE(LOOKUP(1,J28:J30,M28:M30)," pa")</f>
        <v>M$ pa</v>
      </c>
      <c r="N105" s="162" t="str">
        <f>IF(L105&lt;&gt;0,IF(L105&lt;0,"LOSS","GAIN"),"")</f>
        <v>GAIN</v>
      </c>
      <c r="O105" s="116"/>
      <c r="P105" s="116"/>
      <c r="Q105" s="116"/>
      <c r="R105" s="116"/>
      <c r="S105" s="116"/>
      <c r="T105" s="116"/>
      <c r="U105" s="116"/>
      <c r="V105" s="90"/>
      <c r="W105" s="135"/>
      <c r="X105" s="123"/>
      <c r="Y105" s="123"/>
      <c r="Z105" s="123"/>
      <c r="AA105" s="123"/>
      <c r="AB105" s="123"/>
      <c r="AC105" s="123"/>
      <c r="AD105" s="123"/>
      <c r="AE105" s="123"/>
      <c r="AF105" s="123"/>
      <c r="AG105" s="123"/>
      <c r="AH105" s="123"/>
      <c r="AI105" s="123"/>
      <c r="AJ105" s="123"/>
      <c r="AK105" s="90"/>
      <c r="AL105" s="7"/>
      <c r="AM105" s="86"/>
      <c r="AN105" s="15"/>
      <c r="AO105" s="15"/>
      <c r="AP105" s="15"/>
      <c r="AQ105" s="15"/>
      <c r="AR105" s="15"/>
      <c r="AS105" s="15"/>
      <c r="AT105" s="15"/>
      <c r="AU105" s="15"/>
      <c r="AV105" s="15"/>
      <c r="AW105" s="15"/>
      <c r="AX105" s="15"/>
      <c r="AY105" s="15"/>
      <c r="AZ105" s="20"/>
      <c r="BA105" s="7"/>
      <c r="BB105" s="7"/>
      <c r="BC105" s="7"/>
      <c r="BD105" s="7"/>
      <c r="BE105" s="7"/>
      <c r="BF105" s="7"/>
      <c r="BG105" s="7"/>
      <c r="BH105" s="7"/>
      <c r="BI105" s="7"/>
      <c r="BJ105" s="314"/>
    </row>
    <row r="106" spans="1:62" ht="13.5" x14ac:dyDescent="0.25">
      <c r="A106" s="314"/>
      <c r="B106" s="154"/>
      <c r="C106" s="153"/>
      <c r="D106" s="154"/>
      <c r="E106" s="154"/>
      <c r="F106" s="154"/>
      <c r="G106" s="154"/>
      <c r="H106" s="154"/>
      <c r="I106" s="137"/>
      <c r="J106" s="137"/>
      <c r="K106" s="137"/>
      <c r="L106" s="137"/>
      <c r="M106" s="137"/>
      <c r="N106" s="137"/>
      <c r="O106" s="116"/>
      <c r="P106" s="116"/>
      <c r="Q106" s="116"/>
      <c r="R106" s="116"/>
      <c r="S106" s="116"/>
      <c r="T106" s="116"/>
      <c r="U106" s="116"/>
      <c r="V106" s="90"/>
      <c r="W106" s="135"/>
      <c r="X106" s="123"/>
      <c r="Y106" s="123"/>
      <c r="Z106" s="123"/>
      <c r="AA106" s="123"/>
      <c r="AB106" s="123"/>
      <c r="AC106" s="123"/>
      <c r="AD106" s="123"/>
      <c r="AE106" s="123"/>
      <c r="AF106" s="123"/>
      <c r="AG106" s="123"/>
      <c r="AH106" s="123"/>
      <c r="AI106" s="123"/>
      <c r="AJ106" s="123"/>
      <c r="AK106" s="90"/>
      <c r="AL106" s="7"/>
      <c r="AM106" s="90"/>
      <c r="AN106" s="90"/>
      <c r="AO106" s="90"/>
      <c r="AP106" s="90"/>
      <c r="AQ106" s="90"/>
      <c r="AR106" s="90"/>
      <c r="AS106" s="90"/>
      <c r="AT106" s="90"/>
      <c r="AU106" s="90"/>
      <c r="AV106" s="90"/>
      <c r="AW106" s="90"/>
      <c r="AX106" s="90"/>
      <c r="AY106" s="90"/>
      <c r="AZ106" s="89"/>
      <c r="BA106" s="90"/>
      <c r="BB106" s="90"/>
      <c r="BC106" s="90"/>
      <c r="BD106" s="90"/>
      <c r="BE106" s="90"/>
      <c r="BF106" s="90"/>
      <c r="BG106" s="90"/>
      <c r="BH106" s="90"/>
      <c r="BI106" s="90"/>
      <c r="BJ106" s="314"/>
    </row>
    <row r="107" spans="1:62" ht="13.5" x14ac:dyDescent="0.25">
      <c r="A107" s="155"/>
      <c r="B107" s="9"/>
      <c r="C107" s="9"/>
      <c r="D107" s="9"/>
      <c r="E107" s="9"/>
      <c r="F107" s="9"/>
      <c r="G107" s="9"/>
      <c r="H107" s="9"/>
      <c r="I107" s="9"/>
      <c r="J107" s="116"/>
      <c r="K107" s="116"/>
      <c r="L107" s="116"/>
      <c r="M107" s="116"/>
      <c r="N107" s="116"/>
      <c r="O107" s="116"/>
      <c r="P107" s="116"/>
      <c r="Q107" s="116"/>
      <c r="R107" s="116"/>
      <c r="S107" s="116"/>
      <c r="T107" s="116"/>
      <c r="U107" s="116"/>
      <c r="V107" s="90"/>
      <c r="W107" s="135"/>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sheetData>
  <sheetProtection algorithmName="SHA-512" hashValue="h17t8kfUzfElPNePpAcxsCN3Z00H6aojgGl24CdiEOreGd14sRjBbe9y93t0u0lSp92A3KmDygErcPLXrpGHWw==" saltValue="Et3rI0/p7h31lbhDsYLIxg==" spinCount="100000" sheet="1" objects="1" scenarios="1" selectLockedCells="1"/>
  <mergeCells count="14">
    <mergeCell ref="X36:Z38"/>
    <mergeCell ref="A58:A106"/>
    <mergeCell ref="BJ58:BJ106"/>
    <mergeCell ref="AQ97:AY97"/>
    <mergeCell ref="A1:BJ1"/>
    <mergeCell ref="A3:A54"/>
    <mergeCell ref="B3:AJ3"/>
    <mergeCell ref="BJ3:BJ54"/>
    <mergeCell ref="I5:U5"/>
    <mergeCell ref="X5:AJ5"/>
    <mergeCell ref="AM5:AY5"/>
    <mergeCell ref="B6:C6"/>
    <mergeCell ref="E6:G6"/>
    <mergeCell ref="X33:Z35"/>
  </mergeCells>
  <conditionalFormatting sqref="B8:C8">
    <cfRule type="expression" dxfId="69" priority="7" stopIfTrue="1">
      <formula>COUNT(B9:B11)&lt;&gt;1</formula>
    </cfRule>
  </conditionalFormatting>
  <conditionalFormatting sqref="T6">
    <cfRule type="expression" dxfId="68" priority="8" stopIfTrue="1">
      <formula>Z6=0</formula>
    </cfRule>
  </conditionalFormatting>
  <conditionalFormatting sqref="AX27:AY27">
    <cfRule type="expression" dxfId="67" priority="9" stopIfTrue="1">
      <formula>BD29=0</formula>
    </cfRule>
  </conditionalFormatting>
  <conditionalFormatting sqref="B22:C22">
    <cfRule type="expression" dxfId="66" priority="10" stopIfTrue="1">
      <formula>COUNT(B23:F26)&lt;&gt;1</formula>
    </cfRule>
  </conditionalFormatting>
  <conditionalFormatting sqref="F22:G22">
    <cfRule type="expression" dxfId="65" priority="11" stopIfTrue="1">
      <formula>COUNT(F27:G30)&lt;&gt;1</formula>
    </cfRule>
  </conditionalFormatting>
  <conditionalFormatting sqref="D22">
    <cfRule type="expression" dxfId="64" priority="12" stopIfTrue="1">
      <formula>COUNT(D27:G30)&lt;&gt;1</formula>
    </cfRule>
  </conditionalFormatting>
  <conditionalFormatting sqref="E22">
    <cfRule type="expression" dxfId="63" priority="13" stopIfTrue="1">
      <formula>COUNT(E27:G30)&lt;&gt;1</formula>
    </cfRule>
  </conditionalFormatting>
  <conditionalFormatting sqref="X39:AC39">
    <cfRule type="expression" dxfId="62" priority="14" stopIfTrue="1">
      <formula>$C$16&lt;&gt;1</formula>
    </cfRule>
  </conditionalFormatting>
  <conditionalFormatting sqref="E65:E78 F58:F106 E97:E106 E81:E94 G67:H106 G58:H65 E58:E62 B58 B60:B106 C58:D106 J106:N106 V91:W91 V75:X75 P60:U106 I58:U59 J61:J75 K61:L61 J60:L60 M60:N61 K74:N75 L68:N68 N77 K62:K72 N85 J89 L89 N90:N93 M95:M105 J94:L105 O60:O107 J90:M91 J93:M93 I60:I106 J92:L92 L62:L67 M63:M67 L69:L73 M70:M73 J76:M77 J78:L88 M79:M89">
    <cfRule type="expression" dxfId="61" priority="15" stopIfTrue="1">
      <formula>$C$15&lt;&gt;1</formula>
    </cfRule>
  </conditionalFormatting>
  <conditionalFormatting sqref="E63:E64 E79:E80 E95:E96 G66:H66 N76 N63:N67 N70:N73 N79:N84 N86:N89 N95:N105">
    <cfRule type="expression" dxfId="60" priority="16" stopIfTrue="1">
      <formula>$C$15&lt;&gt;1</formula>
    </cfRule>
  </conditionalFormatting>
  <conditionalFormatting sqref="B44:U44 W32:W44 B32:H43">
    <cfRule type="expression" dxfId="59" priority="17" stopIfTrue="1">
      <formula>$C$16&lt;&gt;1</formula>
    </cfRule>
  </conditionalFormatting>
  <conditionalFormatting sqref="M36 I38:L39 M38 M39:N39 N36:N38 J36:L37 I40:N43 J32:N35 I32:I37">
    <cfRule type="expression" dxfId="58" priority="18" stopIfTrue="1">
      <formula>$C$15&lt;&gt;1</formula>
    </cfRule>
  </conditionalFormatting>
  <conditionalFormatting sqref="M37">
    <cfRule type="expression" dxfId="57" priority="19" stopIfTrue="1">
      <formula>$C$15&lt;&gt;1</formula>
    </cfRule>
  </conditionalFormatting>
  <conditionalFormatting sqref="AM27">
    <cfRule type="expression" dxfId="56" priority="20" stopIfTrue="1">
      <formula>#REF!=0</formula>
    </cfRule>
  </conditionalFormatting>
  <conditionalFormatting sqref="AY20:AY21">
    <cfRule type="cellIs" dxfId="55" priority="21" stopIfTrue="1" operator="notEqual">
      <formula>1</formula>
    </cfRule>
  </conditionalFormatting>
  <conditionalFormatting sqref="Z6:AI6">
    <cfRule type="expression" dxfId="54" priority="22" stopIfTrue="1">
      <formula>#REF!=0</formula>
    </cfRule>
  </conditionalFormatting>
  <conditionalFormatting sqref="U20:V21 AJ20:AL21 U22:U43 AJ22:AJ44">
    <cfRule type="cellIs" dxfId="53" priority="23" stopIfTrue="1" operator="notEqual">
      <formula>1</formula>
    </cfRule>
    <cfRule type="cellIs" priority="24" stopIfTrue="1" operator="equal">
      <formula>1</formula>
    </cfRule>
  </conditionalFormatting>
  <conditionalFormatting sqref="S6">
    <cfRule type="expression" dxfId="52" priority="25" stopIfTrue="1">
      <formula>Z6=0</formula>
    </cfRule>
  </conditionalFormatting>
  <conditionalFormatting sqref="R6">
    <cfRule type="expression" dxfId="51" priority="26" stopIfTrue="1">
      <formula>Z6=0</formula>
    </cfRule>
  </conditionalFormatting>
  <conditionalFormatting sqref="I6:P6">
    <cfRule type="expression" dxfId="50" priority="27" stopIfTrue="1">
      <formula>U6=0</formula>
    </cfRule>
  </conditionalFormatting>
  <conditionalFormatting sqref="Q6">
    <cfRule type="expression" dxfId="49" priority="28" stopIfTrue="1">
      <formula>AI6=0</formula>
    </cfRule>
  </conditionalFormatting>
  <conditionalFormatting sqref="X6:Y6">
    <cfRule type="expression" dxfId="48" priority="29" stopIfTrue="1">
      <formula>AJ6=0</formula>
    </cfRule>
  </conditionalFormatting>
  <conditionalFormatting sqref="K73">
    <cfRule type="expression" dxfId="47" priority="6" stopIfTrue="1">
      <formula>$C$15&lt;&gt;1</formula>
    </cfRule>
  </conditionalFormatting>
  <conditionalFormatting sqref="K89">
    <cfRule type="expression" dxfId="46" priority="5" stopIfTrue="1">
      <formula>$C$15&lt;&gt;1</formula>
    </cfRule>
  </conditionalFormatting>
  <conditionalFormatting sqref="M92">
    <cfRule type="expression" dxfId="45" priority="4" stopIfTrue="1">
      <formula>$C$15&lt;&gt;1</formula>
    </cfRule>
  </conditionalFormatting>
  <conditionalFormatting sqref="I22:N27">
    <cfRule type="expression" dxfId="44" priority="3">
      <formula>$C$15&lt;&gt;1</formula>
    </cfRule>
  </conditionalFormatting>
  <conditionalFormatting sqref="X22:AC25">
    <cfRule type="expression" dxfId="43" priority="2">
      <formula>$C$15&lt;&gt;1</formula>
    </cfRule>
  </conditionalFormatting>
  <conditionalFormatting sqref="B19:D19">
    <cfRule type="expression" dxfId="42" priority="1">
      <formula>$C$15=1</formula>
    </cfRule>
  </conditionalFormatting>
  <conditionalFormatting sqref="AW27">
    <cfRule type="expression" dxfId="41" priority="30" stopIfTrue="1">
      <formula>BD29=0</formula>
    </cfRule>
  </conditionalFormatting>
  <conditionalFormatting sqref="AV27">
    <cfRule type="expression" dxfId="40" priority="31" stopIfTrue="1">
      <formula>BD29=0</formula>
    </cfRule>
  </conditionalFormatting>
  <conditionalFormatting sqref="AT27:AU27">
    <cfRule type="expression" dxfId="39" priority="32" stopIfTrue="1">
      <formula>BD29=0</formula>
    </cfRule>
  </conditionalFormatting>
  <conditionalFormatting sqref="AN27:AS27">
    <cfRule type="expression" dxfId="38" priority="33" stopIfTrue="1">
      <formula>AZ29=0</formula>
    </cfRule>
  </conditionalFormatting>
  <printOptions horizontalCentered="1"/>
  <pageMargins left="0.25" right="0.25" top="0.75" bottom="0.75" header="0.3" footer="0.3"/>
  <pageSetup paperSize="9" scale="84" fitToHeight="0" orientation="landscape" r:id="rId1"/>
  <headerFooter>
    <oddHeader>&amp;L&amp;"Arial Black,Regular"&amp;12INTERNAL BENEFITS ASSESSMENT&amp;C&amp;"Arial Black,Regular"&amp;8print-out date : &amp;D&amp;R&amp;"Arial Black,Regular"&amp;12PROPRIETARY</oddHeader>
    <oddFooter>&amp;L&amp;"Arial Black,Regular"&amp;8Page &amp;P of &amp;N&amp;R&amp;"Arial Black,Regular"&amp;8&amp;F - &amp;A</oddFooter>
  </headerFooter>
  <rowBreaks count="1" manualBreakCount="1">
    <brk id="56"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FF00"/>
    <pageSetUpPr fitToPage="1"/>
  </sheetPr>
  <dimension ref="A1:BJ107"/>
  <sheetViews>
    <sheetView showGridLines="0" zoomScaleNormal="100" workbookViewId="0">
      <selection activeCell="B3" sqref="B3:AJ3"/>
    </sheetView>
  </sheetViews>
  <sheetFormatPr defaultRowHeight="12.75" outlineLevelCol="1" x14ac:dyDescent="0.2"/>
  <cols>
    <col min="1" max="1" width="3.140625" customWidth="1"/>
    <col min="2" max="2" width="11.5703125" customWidth="1"/>
    <col min="3" max="3" width="5" bestFit="1" customWidth="1"/>
    <col min="4" max="4" width="4.42578125" customWidth="1"/>
    <col min="5" max="5" width="11.5703125" bestFit="1" customWidth="1"/>
    <col min="6" max="6" width="8.42578125" customWidth="1"/>
    <col min="7" max="7" width="6.5703125" bestFit="1" customWidth="1"/>
    <col min="8" max="8" width="2.5703125" customWidth="1"/>
    <col min="9" max="9" width="11.42578125" customWidth="1"/>
    <col min="10" max="12" width="7.140625" customWidth="1"/>
    <col min="13" max="13" width="7" bestFit="1" customWidth="1"/>
    <col min="14" max="14" width="5.85546875" bestFit="1" customWidth="1"/>
    <col min="15" max="15" width="5.5703125" hidden="1" customWidth="1" outlineLevel="1"/>
    <col min="16" max="20" width="5" hidden="1" customWidth="1" outlineLevel="1"/>
    <col min="21" max="21" width="5.5703125" customWidth="1" collapsed="1"/>
    <col min="22" max="22" width="9.140625" hidden="1" customWidth="1"/>
    <col min="23" max="23" width="3.42578125" customWidth="1"/>
    <col min="24" max="24" width="12" customWidth="1"/>
    <col min="25" max="25" width="6.5703125" customWidth="1"/>
    <col min="26" max="27" width="7.85546875" customWidth="1"/>
    <col min="28" max="28" width="7.42578125" bestFit="1" customWidth="1"/>
    <col min="29" max="29" width="6.42578125" bestFit="1" customWidth="1"/>
    <col min="30" max="34" width="6.5703125" hidden="1" customWidth="1" outlineLevel="1"/>
    <col min="35" max="35" width="5.5703125" hidden="1" customWidth="1" outlineLevel="1"/>
    <col min="36" max="36" width="7.140625" customWidth="1" collapsed="1"/>
    <col min="37" max="61" width="9.140625" hidden="1" customWidth="1"/>
    <col min="62" max="62" width="3.140625" customWidth="1"/>
  </cols>
  <sheetData>
    <row r="1" spans="1:62" ht="37.5" customHeight="1" x14ac:dyDescent="0.2">
      <c r="A1" s="311" t="s">
        <v>100</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2"/>
      <c r="BF1" s="312"/>
      <c r="BG1" s="312"/>
      <c r="BH1" s="312"/>
      <c r="BI1" s="312"/>
      <c r="BJ1" s="312"/>
    </row>
    <row r="2" spans="1:62" ht="3" customHeight="1" x14ac:dyDescent="0.25">
      <c r="A2" s="10"/>
      <c r="B2" s="11"/>
      <c r="C2" s="11"/>
      <c r="D2" s="11"/>
      <c r="E2" s="11"/>
      <c r="F2" s="11"/>
      <c r="G2" s="11"/>
      <c r="H2" s="11"/>
      <c r="I2" s="11"/>
      <c r="J2" s="11"/>
      <c r="K2" s="11"/>
      <c r="L2" s="11"/>
      <c r="M2" s="11"/>
      <c r="N2" s="11"/>
      <c r="O2" s="11"/>
      <c r="P2" s="11"/>
      <c r="Q2" s="11"/>
      <c r="R2" s="11"/>
      <c r="S2" s="11"/>
      <c r="T2" s="11"/>
      <c r="U2" s="11"/>
      <c r="V2" s="7"/>
      <c r="W2" s="11"/>
      <c r="X2" s="11"/>
      <c r="Y2" s="11"/>
      <c r="Z2" s="11"/>
      <c r="AA2" s="11"/>
      <c r="AB2" s="11"/>
      <c r="AC2" s="11"/>
      <c r="AD2" s="11"/>
      <c r="AE2" s="11"/>
      <c r="AF2" s="11"/>
      <c r="AG2" s="11"/>
      <c r="AH2" s="11"/>
      <c r="AI2" s="11"/>
      <c r="AJ2" s="11"/>
      <c r="AK2" s="7"/>
      <c r="AL2" s="7"/>
      <c r="AM2" s="7"/>
      <c r="AN2" s="7"/>
      <c r="AO2" s="7"/>
      <c r="AP2" s="7"/>
      <c r="AQ2" s="7"/>
      <c r="AR2" s="7"/>
      <c r="AS2" s="7"/>
      <c r="AT2" s="7"/>
      <c r="AU2" s="7"/>
      <c r="AV2" s="7"/>
      <c r="AW2" s="7"/>
      <c r="AX2" s="7"/>
      <c r="AY2" s="7"/>
      <c r="AZ2" s="7"/>
      <c r="BA2" s="7"/>
      <c r="BB2" s="7"/>
      <c r="BC2" s="7"/>
      <c r="BD2" s="7"/>
      <c r="BE2" s="7"/>
      <c r="BF2" s="7"/>
      <c r="BG2" s="7"/>
      <c r="BH2" s="7"/>
      <c r="BI2" s="7"/>
      <c r="BJ2" s="11"/>
    </row>
    <row r="3" spans="1:62" ht="13.5" x14ac:dyDescent="0.25">
      <c r="A3" s="317" t="s">
        <v>62</v>
      </c>
      <c r="B3" s="319" t="s">
        <v>157</v>
      </c>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1"/>
      <c r="AK3" s="13"/>
      <c r="AL3" s="13"/>
      <c r="AM3" s="13"/>
      <c r="AN3" s="13"/>
      <c r="AO3" s="13"/>
      <c r="AP3" s="13"/>
      <c r="AQ3" s="13"/>
      <c r="AR3" s="13"/>
      <c r="AS3" s="13"/>
      <c r="AT3" s="13"/>
      <c r="AU3" s="13"/>
      <c r="AV3" s="13"/>
      <c r="AW3" s="13"/>
      <c r="AX3" s="13"/>
      <c r="AY3" s="13"/>
      <c r="AZ3" s="7"/>
      <c r="BA3" s="7"/>
      <c r="BB3" s="7"/>
      <c r="BC3" s="7"/>
      <c r="BD3" s="7"/>
      <c r="BE3" s="7"/>
      <c r="BF3" s="7"/>
      <c r="BG3" s="7"/>
      <c r="BH3" s="7"/>
      <c r="BI3" s="7"/>
      <c r="BJ3" s="317" t="s">
        <v>62</v>
      </c>
    </row>
    <row r="4" spans="1:62" ht="3" customHeight="1" x14ac:dyDescent="0.25">
      <c r="A4" s="318"/>
      <c r="B4" s="11"/>
      <c r="C4" s="11"/>
      <c r="D4" s="11"/>
      <c r="E4" s="11"/>
      <c r="F4" s="11"/>
      <c r="G4" s="11"/>
      <c r="H4" s="11"/>
      <c r="I4" s="11"/>
      <c r="J4" s="11"/>
      <c r="K4" s="11"/>
      <c r="L4" s="11"/>
      <c r="M4" s="11"/>
      <c r="N4" s="11"/>
      <c r="O4" s="11"/>
      <c r="P4" s="11"/>
      <c r="Q4" s="11"/>
      <c r="R4" s="11"/>
      <c r="S4" s="11"/>
      <c r="T4" s="11"/>
      <c r="U4" s="11"/>
      <c r="V4" s="7"/>
      <c r="W4" s="11" t="s">
        <v>63</v>
      </c>
      <c r="X4" s="11"/>
      <c r="Y4" s="11"/>
      <c r="Z4" s="11"/>
      <c r="AA4" s="11"/>
      <c r="AB4" s="11"/>
      <c r="AC4" s="11"/>
      <c r="AD4" s="11"/>
      <c r="AE4" s="11"/>
      <c r="AF4" s="11"/>
      <c r="AG4" s="11"/>
      <c r="AH4" s="11"/>
      <c r="AI4" s="11"/>
      <c r="AJ4" s="11"/>
      <c r="AK4" s="7"/>
      <c r="AL4" s="7"/>
      <c r="AM4" s="7"/>
      <c r="AN4" s="7"/>
      <c r="AO4" s="7"/>
      <c r="AP4" s="7"/>
      <c r="AQ4" s="7"/>
      <c r="AR4" s="7"/>
      <c r="AS4" s="7"/>
      <c r="AT4" s="7"/>
      <c r="AU4" s="7"/>
      <c r="AV4" s="7"/>
      <c r="AW4" s="7"/>
      <c r="AX4" s="7"/>
      <c r="AY4" s="7"/>
      <c r="AZ4" s="7"/>
      <c r="BA4" s="7"/>
      <c r="BB4" s="7"/>
      <c r="BC4" s="7"/>
      <c r="BD4" s="7"/>
      <c r="BE4" s="7"/>
      <c r="BF4" s="7"/>
      <c r="BG4" s="7"/>
      <c r="BH4" s="7"/>
      <c r="BI4" s="7"/>
      <c r="BJ4" s="318"/>
    </row>
    <row r="5" spans="1:62" ht="13.5" x14ac:dyDescent="0.25">
      <c r="A5" s="318"/>
      <c r="B5" s="14" t="s">
        <v>0</v>
      </c>
      <c r="C5" s="14"/>
      <c r="D5" s="11"/>
      <c r="E5" s="14" t="s">
        <v>1</v>
      </c>
      <c r="F5" s="14"/>
      <c r="G5" s="14"/>
      <c r="H5" s="11"/>
      <c r="I5" s="319" t="s">
        <v>59</v>
      </c>
      <c r="J5" s="322"/>
      <c r="K5" s="322"/>
      <c r="L5" s="322"/>
      <c r="M5" s="322"/>
      <c r="N5" s="322"/>
      <c r="O5" s="322"/>
      <c r="P5" s="322"/>
      <c r="Q5" s="322"/>
      <c r="R5" s="322"/>
      <c r="S5" s="322"/>
      <c r="T5" s="322"/>
      <c r="U5" s="323"/>
      <c r="V5" s="15"/>
      <c r="W5" s="16"/>
      <c r="X5" s="319" t="s">
        <v>189</v>
      </c>
      <c r="Y5" s="322"/>
      <c r="Z5" s="322"/>
      <c r="AA5" s="322"/>
      <c r="AB5" s="322"/>
      <c r="AC5" s="322"/>
      <c r="AD5" s="322"/>
      <c r="AE5" s="322"/>
      <c r="AF5" s="322"/>
      <c r="AG5" s="322"/>
      <c r="AH5" s="322"/>
      <c r="AI5" s="322"/>
      <c r="AJ5" s="323"/>
      <c r="AK5" s="15"/>
      <c r="AL5" s="15"/>
      <c r="AM5" s="324" t="s">
        <v>66</v>
      </c>
      <c r="AN5" s="324"/>
      <c r="AO5" s="324"/>
      <c r="AP5" s="324"/>
      <c r="AQ5" s="324"/>
      <c r="AR5" s="324"/>
      <c r="AS5" s="324"/>
      <c r="AT5" s="324"/>
      <c r="AU5" s="324"/>
      <c r="AV5" s="324"/>
      <c r="AW5" s="324"/>
      <c r="AX5" s="324"/>
      <c r="AY5" s="324"/>
      <c r="AZ5" s="7"/>
      <c r="BA5" s="4">
        <f>COUNT(B9:B10)</f>
        <v>1</v>
      </c>
      <c r="BB5" s="4">
        <f>COUNT(B23:F24)</f>
        <v>1</v>
      </c>
      <c r="BC5" s="4">
        <f>COUNT(B23:F23,B25:F25)</f>
        <v>1</v>
      </c>
      <c r="BD5" s="4">
        <f>COUNT(B23:B26)</f>
        <v>1</v>
      </c>
      <c r="BE5" s="4">
        <f>COUNT(D23:D26)</f>
        <v>0</v>
      </c>
      <c r="BF5" s="4">
        <f>COUNT(F23:F26)</f>
        <v>0</v>
      </c>
      <c r="BG5" s="7"/>
      <c r="BH5" s="7"/>
      <c r="BI5" s="7"/>
      <c r="BJ5" s="318"/>
    </row>
    <row r="6" spans="1:62" ht="13.5" x14ac:dyDescent="0.25">
      <c r="A6" s="318"/>
      <c r="B6" s="325" t="s">
        <v>97</v>
      </c>
      <c r="C6" s="326"/>
      <c r="D6" s="17"/>
      <c r="E6" s="325" t="s">
        <v>188</v>
      </c>
      <c r="F6" s="327"/>
      <c r="G6" s="326"/>
      <c r="H6" s="17"/>
      <c r="I6" s="18" t="str">
        <f>IF(U6&lt;&gt;0,CONCATENATE(BC6," (",BD6,")"),CONCATENATE(,"PROVIDE ",BC6," (",BD6,") =&gt;"))</f>
        <v>THICKNESS (micron)</v>
      </c>
      <c r="J6" s="18"/>
      <c r="K6" s="18"/>
      <c r="L6" s="18"/>
      <c r="M6" s="18"/>
      <c r="N6" s="18"/>
      <c r="O6" s="18"/>
      <c r="P6" s="18"/>
      <c r="Q6" s="18"/>
      <c r="R6" s="18"/>
      <c r="S6" s="18"/>
      <c r="T6" s="18"/>
      <c r="U6" s="19">
        <v>40</v>
      </c>
      <c r="V6" s="20"/>
      <c r="W6" s="21"/>
      <c r="X6" s="18" t="str">
        <f>IF(AJ6&lt;&gt;0,CONCATENATE(BC6," (",BD6,")"),CONCATENATE(,"PROVIDE ",BC6," (",BD6,") =&gt;"))</f>
        <v>THICKNESS (micron)</v>
      </c>
      <c r="Y6" s="18"/>
      <c r="Z6" s="18"/>
      <c r="AA6" s="18"/>
      <c r="AB6" s="18"/>
      <c r="AC6" s="18"/>
      <c r="AD6" s="18"/>
      <c r="AE6" s="18"/>
      <c r="AF6" s="18"/>
      <c r="AG6" s="18"/>
      <c r="AH6" s="18"/>
      <c r="AI6" s="18"/>
      <c r="AJ6" s="19">
        <v>30</v>
      </c>
      <c r="AK6" s="20"/>
      <c r="AL6" s="20"/>
      <c r="AM6" s="18" t="str">
        <f>CONCATENATE(BC6," (",BD6,")")</f>
        <v>THICKNESS (micron)</v>
      </c>
      <c r="AN6" s="18"/>
      <c r="AO6" s="18"/>
      <c r="AP6" s="18"/>
      <c r="AQ6" s="18"/>
      <c r="AR6" s="18"/>
      <c r="AS6" s="18"/>
      <c r="AT6" s="18"/>
      <c r="AU6" s="18"/>
      <c r="AV6" s="18"/>
      <c r="AW6" s="18"/>
      <c r="AX6" s="18"/>
      <c r="AY6" s="246">
        <f>U6</f>
        <v>40</v>
      </c>
      <c r="AZ6" s="7"/>
      <c r="BA6" s="4">
        <f>3*(BA5*4+BB5*2+BC5)+(3*BD5+2*BE5+BF5)</f>
        <v>24</v>
      </c>
      <c r="BB6" s="4" t="str">
        <f>LOOKUP(1,B9:C11,C9:C11)</f>
        <v>TON</v>
      </c>
      <c r="BC6" s="4" t="str">
        <f>IF(BD5=1,"THICKNESS",IF(BE5=1,"SECTION","VOLUME"))</f>
        <v>THICKNESS</v>
      </c>
      <c r="BD6" s="4" t="str">
        <f>IF(BD5=1,LOOKUP(1,B23:B26,C23:C26),IF(BE5=1,LOOKUP(1,D23:D26,E23:E26),LOOKUP(1,F23:F26,G23:G26)))</f>
        <v>micron</v>
      </c>
      <c r="BE6" s="90"/>
      <c r="BF6" s="90"/>
      <c r="BG6" s="7"/>
      <c r="BH6" s="7"/>
      <c r="BI6" s="7"/>
      <c r="BJ6" s="318"/>
    </row>
    <row r="7" spans="1:62" ht="3" customHeight="1" x14ac:dyDescent="0.25">
      <c r="A7" s="318"/>
      <c r="B7" s="11"/>
      <c r="C7" s="11"/>
      <c r="D7" s="11"/>
      <c r="E7" s="11"/>
      <c r="F7" s="11"/>
      <c r="G7" s="11"/>
      <c r="H7" s="11"/>
      <c r="I7" s="22"/>
      <c r="J7" s="22"/>
      <c r="K7" s="22"/>
      <c r="L7" s="22"/>
      <c r="M7" s="22"/>
      <c r="N7" s="22"/>
      <c r="O7" s="22"/>
      <c r="P7" s="22"/>
      <c r="Q7" s="22"/>
      <c r="R7" s="22"/>
      <c r="S7" s="22"/>
      <c r="T7" s="22"/>
      <c r="U7" s="23"/>
      <c r="V7" s="24"/>
      <c r="W7" s="23"/>
      <c r="X7" s="23"/>
      <c r="Y7" s="23"/>
      <c r="Z7" s="23"/>
      <c r="AA7" s="23"/>
      <c r="AB7" s="23"/>
      <c r="AC7" s="23"/>
      <c r="AD7" s="23"/>
      <c r="AE7" s="23"/>
      <c r="AF7" s="23"/>
      <c r="AG7" s="23"/>
      <c r="AH7" s="23"/>
      <c r="AI7" s="23"/>
      <c r="AJ7" s="23"/>
      <c r="AK7" s="24"/>
      <c r="AL7" s="24"/>
      <c r="AM7" s="24"/>
      <c r="AN7" s="24"/>
      <c r="AO7" s="24"/>
      <c r="AP7" s="24"/>
      <c r="AQ7" s="24"/>
      <c r="AR7" s="24"/>
      <c r="AS7" s="24"/>
      <c r="AT7" s="24"/>
      <c r="AU7" s="24"/>
      <c r="AV7" s="24"/>
      <c r="AW7" s="24"/>
      <c r="AX7" s="24"/>
      <c r="AY7" s="24"/>
      <c r="AZ7" s="7"/>
      <c r="BA7" s="7"/>
      <c r="BB7" s="7"/>
      <c r="BC7" s="7"/>
      <c r="BD7" s="7"/>
      <c r="BE7" s="90"/>
      <c r="BF7" s="90"/>
      <c r="BG7" s="7"/>
      <c r="BH7" s="7"/>
      <c r="BI7" s="7"/>
      <c r="BJ7" s="318"/>
    </row>
    <row r="8" spans="1:62" ht="13.5" x14ac:dyDescent="0.25">
      <c r="A8" s="318"/>
      <c r="B8" s="25" t="str">
        <f>IF(COUNT(B9:B11)&gt;1,"&gt;1 UNIT SELECTED",IF(COUNT(B9:B11)=0,"NO UNIT SELECTED","WEIGHT UNIT"))</f>
        <v>WEIGHT UNIT</v>
      </c>
      <c r="C8" s="25"/>
      <c r="D8" s="26"/>
      <c r="E8" s="302" t="s">
        <v>18</v>
      </c>
      <c r="F8" s="302" t="str">
        <f>CONCATENATE(B6,"/",BB6)</f>
        <v>$/TON</v>
      </c>
      <c r="G8" s="302" t="s">
        <v>19</v>
      </c>
      <c r="H8" s="11"/>
      <c r="I8" s="2" t="s">
        <v>2</v>
      </c>
      <c r="J8" s="27">
        <v>1</v>
      </c>
      <c r="K8" s="27">
        <v>3</v>
      </c>
      <c r="L8" s="27">
        <v>1</v>
      </c>
      <c r="M8" s="27"/>
      <c r="N8" s="27"/>
      <c r="O8" s="27"/>
      <c r="P8" s="27"/>
      <c r="Q8" s="27"/>
      <c r="R8" s="27"/>
      <c r="S8" s="27"/>
      <c r="T8" s="27"/>
      <c r="U8" s="302"/>
      <c r="V8" s="28"/>
      <c r="W8" s="23"/>
      <c r="X8" s="2" t="s">
        <v>2</v>
      </c>
      <c r="Y8" s="27">
        <v>1</v>
      </c>
      <c r="Z8" s="27">
        <v>4</v>
      </c>
      <c r="AA8" s="27">
        <v>1</v>
      </c>
      <c r="AB8" s="27"/>
      <c r="AC8" s="27"/>
      <c r="AD8" s="27"/>
      <c r="AE8" s="27"/>
      <c r="AF8" s="27"/>
      <c r="AG8" s="27"/>
      <c r="AH8" s="27"/>
      <c r="AI8" s="27"/>
      <c r="AJ8" s="302"/>
      <c r="AK8" s="28"/>
      <c r="AL8" s="28"/>
      <c r="AM8" s="2" t="s">
        <v>2</v>
      </c>
      <c r="AN8" s="29">
        <f>Y8</f>
        <v>1</v>
      </c>
      <c r="AO8" s="29">
        <f>Z8</f>
        <v>4</v>
      </c>
      <c r="AP8" s="29">
        <f>AA8</f>
        <v>1</v>
      </c>
      <c r="AQ8" s="29">
        <f>AB8</f>
        <v>0</v>
      </c>
      <c r="AR8" s="29">
        <f t="shared" ref="AR8:AX19" si="0">AC8</f>
        <v>0</v>
      </c>
      <c r="AS8" s="29">
        <f t="shared" si="0"/>
        <v>0</v>
      </c>
      <c r="AT8" s="29">
        <f t="shared" si="0"/>
        <v>0</v>
      </c>
      <c r="AU8" s="29">
        <f t="shared" si="0"/>
        <v>0</v>
      </c>
      <c r="AV8" s="29">
        <f t="shared" si="0"/>
        <v>0</v>
      </c>
      <c r="AW8" s="29">
        <f t="shared" si="0"/>
        <v>0</v>
      </c>
      <c r="AX8" s="29">
        <f t="shared" si="0"/>
        <v>0</v>
      </c>
      <c r="AY8" s="302"/>
      <c r="AZ8" s="7"/>
      <c r="BA8" s="4" t="s">
        <v>72</v>
      </c>
      <c r="BB8" s="4" t="s">
        <v>71</v>
      </c>
      <c r="BC8" s="4" t="s">
        <v>73</v>
      </c>
      <c r="BD8" s="5" t="s">
        <v>74</v>
      </c>
      <c r="BE8" s="90"/>
      <c r="BF8" s="90"/>
      <c r="BG8" s="7"/>
      <c r="BH8" s="5" t="s">
        <v>3</v>
      </c>
      <c r="BI8" s="5" t="s">
        <v>4</v>
      </c>
      <c r="BJ8" s="318"/>
    </row>
    <row r="9" spans="1:62" ht="13.5" x14ac:dyDescent="0.25">
      <c r="A9" s="318"/>
      <c r="B9" s="30"/>
      <c r="C9" s="4" t="s">
        <v>5</v>
      </c>
      <c r="D9" s="31"/>
      <c r="E9" s="32" t="s">
        <v>182</v>
      </c>
      <c r="F9" s="33">
        <v>1050</v>
      </c>
      <c r="G9" s="34">
        <v>0.92849999999999999</v>
      </c>
      <c r="H9" s="11"/>
      <c r="I9" s="4" t="str">
        <f>IF($E9="","",$E9)</f>
        <v>LD171BA</v>
      </c>
      <c r="J9" s="35">
        <v>0.05</v>
      </c>
      <c r="K9" s="35">
        <v>0.8</v>
      </c>
      <c r="L9" s="35">
        <v>0.05</v>
      </c>
      <c r="M9" s="35"/>
      <c r="N9" s="35"/>
      <c r="O9" s="35"/>
      <c r="P9" s="35"/>
      <c r="Q9" s="35"/>
      <c r="R9" s="35"/>
      <c r="S9" s="35"/>
      <c r="T9" s="35"/>
      <c r="U9" s="36">
        <f>SUMPRODUCT(J9:T9,J20:T20)</f>
        <v>0.5</v>
      </c>
      <c r="V9" s="37">
        <f>IF($C$13&lt;&gt;1,U9*$G9,IF(U9&lt;&gt;0,U9/$G9,""))</f>
        <v>0.53850296176628976</v>
      </c>
      <c r="W9" s="38"/>
      <c r="X9" s="4" t="str">
        <f>IF($E9="","",$E9)</f>
        <v>LD171BA</v>
      </c>
      <c r="Y9" s="35"/>
      <c r="Z9" s="35"/>
      <c r="AA9" s="35"/>
      <c r="AB9" s="35"/>
      <c r="AC9" s="35"/>
      <c r="AD9" s="35"/>
      <c r="AE9" s="35"/>
      <c r="AF9" s="35"/>
      <c r="AG9" s="35"/>
      <c r="AH9" s="35"/>
      <c r="AI9" s="35"/>
      <c r="AJ9" s="36">
        <f>SUMPRODUCT(Y9:AI9,Y20:AI20)</f>
        <v>0</v>
      </c>
      <c r="AK9" s="37" t="str">
        <f t="shared" ref="AK9:AK19" si="1">IF($C$13&lt;&gt;1,AJ9*$G9,IF(AJ9&lt;&gt;0,AJ9/$G9,""))</f>
        <v/>
      </c>
      <c r="AL9" s="39"/>
      <c r="AM9" s="4" t="str">
        <f t="shared" ref="AM9:AM18" si="2">$E9</f>
        <v>LD171BA</v>
      </c>
      <c r="AN9" s="40">
        <f t="shared" ref="AN9:AQ19" si="3">Y9</f>
        <v>0</v>
      </c>
      <c r="AO9" s="40">
        <f t="shared" si="3"/>
        <v>0</v>
      </c>
      <c r="AP9" s="40">
        <f t="shared" si="3"/>
        <v>0</v>
      </c>
      <c r="AQ9" s="40">
        <f t="shared" si="3"/>
        <v>0</v>
      </c>
      <c r="AR9" s="40">
        <f t="shared" si="0"/>
        <v>0</v>
      </c>
      <c r="AS9" s="40">
        <f t="shared" si="0"/>
        <v>0</v>
      </c>
      <c r="AT9" s="40">
        <f t="shared" si="0"/>
        <v>0</v>
      </c>
      <c r="AU9" s="40">
        <f t="shared" si="0"/>
        <v>0</v>
      </c>
      <c r="AV9" s="40">
        <f t="shared" si="0"/>
        <v>0</v>
      </c>
      <c r="AW9" s="40">
        <f t="shared" si="0"/>
        <v>0</v>
      </c>
      <c r="AX9" s="40">
        <f t="shared" si="0"/>
        <v>0</v>
      </c>
      <c r="AY9" s="36">
        <f>SUMPRODUCT(AN9:AX9,AN20:AX20)</f>
        <v>0</v>
      </c>
      <c r="AZ9" s="37" t="str">
        <f t="shared" ref="AZ9:AZ19" si="4">IF($C$13&lt;&gt;1,AY9*$G9,IF(AY9&lt;&gt;0,AY9/$G9,""))</f>
        <v/>
      </c>
      <c r="BA9" s="4" t="s">
        <v>6</v>
      </c>
      <c r="BB9" s="4" t="s">
        <v>7</v>
      </c>
      <c r="BC9" s="4">
        <v>1</v>
      </c>
      <c r="BD9" s="5" t="s">
        <v>8</v>
      </c>
      <c r="BE9" s="5"/>
      <c r="BF9" s="5"/>
      <c r="BG9" s="5" t="s">
        <v>8</v>
      </c>
      <c r="BH9" s="4">
        <f t="shared" ref="BH9:BH32" si="5">IF(B$10=1,0.001,1)</f>
        <v>1E-3</v>
      </c>
      <c r="BI9" s="5">
        <f t="shared" ref="BI9:BI32" si="6">BH9*BE9</f>
        <v>0</v>
      </c>
      <c r="BJ9" s="318"/>
    </row>
    <row r="10" spans="1:62" ht="13.5" x14ac:dyDescent="0.25">
      <c r="A10" s="318"/>
      <c r="B10" s="41">
        <v>1</v>
      </c>
      <c r="C10" s="4" t="s">
        <v>9</v>
      </c>
      <c r="D10" s="31"/>
      <c r="E10" s="42" t="s">
        <v>183</v>
      </c>
      <c r="F10" s="43">
        <v>1000</v>
      </c>
      <c r="G10" s="44">
        <v>0.92500000000000004</v>
      </c>
      <c r="H10" s="11"/>
      <c r="I10" s="4" t="str">
        <f t="shared" ref="I10:I18" si="7">IF($E10="","",$E10)</f>
        <v>LL1201KG</v>
      </c>
      <c r="J10" s="45">
        <v>0.95</v>
      </c>
      <c r="K10" s="45"/>
      <c r="L10" s="45">
        <v>0.95</v>
      </c>
      <c r="M10" s="45"/>
      <c r="N10" s="45"/>
      <c r="O10" s="45"/>
      <c r="P10" s="45"/>
      <c r="Q10" s="45"/>
      <c r="R10" s="45"/>
      <c r="S10" s="45"/>
      <c r="T10" s="45"/>
      <c r="U10" s="36">
        <f>SUMPRODUCT(J10:T10,J20:T20)</f>
        <v>0.38</v>
      </c>
      <c r="V10" s="37">
        <f t="shared" ref="V10:V17" si="8">IF($C$13&lt;&gt;1,U10*$G10,IF(U10&lt;&gt;0,U10/$G10,""))</f>
        <v>0.41081081081081078</v>
      </c>
      <c r="W10" s="38"/>
      <c r="X10" s="4" t="str">
        <f t="shared" ref="X10:X18" si="9">IF($E10="","",$E10)</f>
        <v>LL1201KG</v>
      </c>
      <c r="Y10" s="45"/>
      <c r="Z10" s="45"/>
      <c r="AA10" s="45"/>
      <c r="AB10" s="45"/>
      <c r="AC10" s="45"/>
      <c r="AD10" s="45"/>
      <c r="AE10" s="45"/>
      <c r="AF10" s="45"/>
      <c r="AG10" s="45"/>
      <c r="AH10" s="45"/>
      <c r="AI10" s="45"/>
      <c r="AJ10" s="36">
        <f>SUMPRODUCT(Y10:AI10,Y20:AI20)</f>
        <v>0</v>
      </c>
      <c r="AK10" s="37" t="str">
        <f t="shared" si="1"/>
        <v/>
      </c>
      <c r="AL10" s="39"/>
      <c r="AM10" s="4" t="str">
        <f t="shared" si="2"/>
        <v>LL1201KG</v>
      </c>
      <c r="AN10" s="40">
        <f t="shared" si="3"/>
        <v>0</v>
      </c>
      <c r="AO10" s="40">
        <f t="shared" si="3"/>
        <v>0</v>
      </c>
      <c r="AP10" s="40">
        <f t="shared" si="3"/>
        <v>0</v>
      </c>
      <c r="AQ10" s="40">
        <f t="shared" si="3"/>
        <v>0</v>
      </c>
      <c r="AR10" s="40">
        <f t="shared" si="0"/>
        <v>0</v>
      </c>
      <c r="AS10" s="40">
        <f t="shared" si="0"/>
        <v>0</v>
      </c>
      <c r="AT10" s="40">
        <f t="shared" si="0"/>
        <v>0</v>
      </c>
      <c r="AU10" s="40">
        <f t="shared" si="0"/>
        <v>0</v>
      </c>
      <c r="AV10" s="40">
        <f t="shared" si="0"/>
        <v>0</v>
      </c>
      <c r="AW10" s="40">
        <f t="shared" si="0"/>
        <v>0</v>
      </c>
      <c r="AX10" s="40">
        <f t="shared" si="0"/>
        <v>0</v>
      </c>
      <c r="AY10" s="36">
        <f>SUMPRODUCT(AN10:AX10,AN20:AX20)</f>
        <v>0</v>
      </c>
      <c r="AZ10" s="37" t="str">
        <f t="shared" si="4"/>
        <v/>
      </c>
      <c r="BA10" s="4" t="s">
        <v>6</v>
      </c>
      <c r="BB10" s="4" t="s">
        <v>10</v>
      </c>
      <c r="BC10" s="4">
        <v>2</v>
      </c>
      <c r="BD10" s="5" t="s">
        <v>11</v>
      </c>
      <c r="BE10" s="4">
        <f>(25.4*0.001)^2*(0.3048)*2.2046*1000</f>
        <v>0.43352305553280002</v>
      </c>
      <c r="BF10" s="5" t="s">
        <v>89</v>
      </c>
      <c r="BG10" s="5" t="s">
        <v>12</v>
      </c>
      <c r="BH10" s="4">
        <f t="shared" si="5"/>
        <v>1E-3</v>
      </c>
      <c r="BI10" s="5">
        <f>BH10*BE10</f>
        <v>4.3352305553280004E-4</v>
      </c>
      <c r="BJ10" s="318"/>
    </row>
    <row r="11" spans="1:62" ht="13.5" x14ac:dyDescent="0.25">
      <c r="A11" s="318"/>
      <c r="B11" s="47"/>
      <c r="C11" s="4" t="s">
        <v>6</v>
      </c>
      <c r="D11" s="31"/>
      <c r="E11" s="41" t="s">
        <v>184</v>
      </c>
      <c r="F11" s="48">
        <v>1070</v>
      </c>
      <c r="G11" s="49">
        <v>0.96099999999999997</v>
      </c>
      <c r="H11" s="11"/>
      <c r="I11" s="4" t="str">
        <f t="shared" si="7"/>
        <v>HTA108</v>
      </c>
      <c r="J11" s="45"/>
      <c r="K11" s="45">
        <v>0.2</v>
      </c>
      <c r="L11" s="45"/>
      <c r="M11" s="45"/>
      <c r="N11" s="45"/>
      <c r="O11" s="45"/>
      <c r="P11" s="45"/>
      <c r="Q11" s="45"/>
      <c r="R11" s="45"/>
      <c r="S11" s="45"/>
      <c r="T11" s="45"/>
      <c r="U11" s="36">
        <f>SUMPRODUCT(J11:T11,J20:T20)</f>
        <v>0.12</v>
      </c>
      <c r="V11" s="37">
        <f t="shared" si="8"/>
        <v>0.12486992715920915</v>
      </c>
      <c r="W11" s="38"/>
      <c r="X11" s="4" t="str">
        <f t="shared" si="9"/>
        <v>HTA108</v>
      </c>
      <c r="Y11" s="45"/>
      <c r="Z11" s="45"/>
      <c r="AA11" s="45"/>
      <c r="AB11" s="45"/>
      <c r="AC11" s="45"/>
      <c r="AD11" s="45"/>
      <c r="AE11" s="45"/>
      <c r="AF11" s="45"/>
      <c r="AG11" s="45"/>
      <c r="AH11" s="45"/>
      <c r="AI11" s="45"/>
      <c r="AJ11" s="36">
        <f>SUMPRODUCT(Y11:AI11,Y20:AI20)</f>
        <v>0</v>
      </c>
      <c r="AK11" s="37" t="str">
        <f t="shared" si="1"/>
        <v/>
      </c>
      <c r="AL11" s="39"/>
      <c r="AM11" s="4" t="str">
        <f t="shared" si="2"/>
        <v>HTA108</v>
      </c>
      <c r="AN11" s="40">
        <f t="shared" si="3"/>
        <v>0</v>
      </c>
      <c r="AO11" s="40">
        <f t="shared" si="3"/>
        <v>0</v>
      </c>
      <c r="AP11" s="40">
        <f t="shared" si="3"/>
        <v>0</v>
      </c>
      <c r="AQ11" s="40">
        <f t="shared" si="3"/>
        <v>0</v>
      </c>
      <c r="AR11" s="40">
        <f t="shared" si="0"/>
        <v>0</v>
      </c>
      <c r="AS11" s="40">
        <f t="shared" si="0"/>
        <v>0</v>
      </c>
      <c r="AT11" s="40">
        <f t="shared" si="0"/>
        <v>0</v>
      </c>
      <c r="AU11" s="40">
        <f t="shared" si="0"/>
        <v>0</v>
      </c>
      <c r="AV11" s="40">
        <f t="shared" si="0"/>
        <v>0</v>
      </c>
      <c r="AW11" s="40">
        <f t="shared" si="0"/>
        <v>0</v>
      </c>
      <c r="AX11" s="40">
        <f t="shared" si="0"/>
        <v>0</v>
      </c>
      <c r="AY11" s="36">
        <f>SUMPRODUCT(AN11:AX11,AN20:AX20)</f>
        <v>0</v>
      </c>
      <c r="AZ11" s="37" t="str">
        <f t="shared" si="4"/>
        <v/>
      </c>
      <c r="BA11" s="4" t="s">
        <v>6</v>
      </c>
      <c r="BB11" s="4" t="s">
        <v>13</v>
      </c>
      <c r="BC11" s="4">
        <v>3</v>
      </c>
      <c r="BD11" s="5" t="s">
        <v>14</v>
      </c>
      <c r="BE11" s="4">
        <f>(25.4*0.001)*(0.3048)^2*2.2046*1000</f>
        <v>5.2022766663936002</v>
      </c>
      <c r="BF11" s="5" t="s">
        <v>88</v>
      </c>
      <c r="BG11" s="5" t="s">
        <v>15</v>
      </c>
      <c r="BH11" s="4">
        <f t="shared" si="5"/>
        <v>1E-3</v>
      </c>
      <c r="BI11" s="5">
        <f t="shared" si="6"/>
        <v>5.2022766663936005E-3</v>
      </c>
      <c r="BJ11" s="318"/>
    </row>
    <row r="12" spans="1:62" ht="13.5" x14ac:dyDescent="0.25">
      <c r="A12" s="318"/>
      <c r="B12" s="11"/>
      <c r="C12" s="11"/>
      <c r="D12" s="11"/>
      <c r="E12" s="41" t="s">
        <v>185</v>
      </c>
      <c r="F12" s="48">
        <v>1050</v>
      </c>
      <c r="G12" s="49">
        <v>0.92200000000000004</v>
      </c>
      <c r="H12" s="11"/>
      <c r="I12" s="4" t="str">
        <f t="shared" si="7"/>
        <v>LD165BW1</v>
      </c>
      <c r="J12" s="45"/>
      <c r="K12" s="45"/>
      <c r="L12" s="45"/>
      <c r="M12" s="45"/>
      <c r="N12" s="45"/>
      <c r="O12" s="45"/>
      <c r="P12" s="45"/>
      <c r="Q12" s="45"/>
      <c r="R12" s="45"/>
      <c r="S12" s="45"/>
      <c r="T12" s="45"/>
      <c r="U12" s="36">
        <f>SUMPRODUCT(J12:T12,J20:T20)</f>
        <v>0</v>
      </c>
      <c r="V12" s="37" t="str">
        <f t="shared" si="8"/>
        <v/>
      </c>
      <c r="W12" s="38"/>
      <c r="X12" s="4" t="str">
        <f t="shared" si="9"/>
        <v>LD165BW1</v>
      </c>
      <c r="Y12" s="45"/>
      <c r="Z12" s="45">
        <v>0.25</v>
      </c>
      <c r="AA12" s="45"/>
      <c r="AB12" s="45"/>
      <c r="AC12" s="45"/>
      <c r="AD12" s="45"/>
      <c r="AE12" s="45"/>
      <c r="AF12" s="45"/>
      <c r="AG12" s="45"/>
      <c r="AH12" s="45"/>
      <c r="AI12" s="45"/>
      <c r="AJ12" s="36">
        <f>SUMPRODUCT(Y12:AI12,Y20:AI20)</f>
        <v>0.16666666666666666</v>
      </c>
      <c r="AK12" s="37">
        <f t="shared" si="1"/>
        <v>0.18076644974692696</v>
      </c>
      <c r="AL12" s="39"/>
      <c r="AM12" s="4" t="str">
        <f t="shared" si="2"/>
        <v>LD165BW1</v>
      </c>
      <c r="AN12" s="40">
        <f t="shared" si="3"/>
        <v>0</v>
      </c>
      <c r="AO12" s="40">
        <f t="shared" si="3"/>
        <v>0.25</v>
      </c>
      <c r="AP12" s="40">
        <f t="shared" si="3"/>
        <v>0</v>
      </c>
      <c r="AQ12" s="40">
        <f t="shared" si="3"/>
        <v>0</v>
      </c>
      <c r="AR12" s="40">
        <f t="shared" si="0"/>
        <v>0</v>
      </c>
      <c r="AS12" s="40">
        <f t="shared" si="0"/>
        <v>0</v>
      </c>
      <c r="AT12" s="40">
        <f t="shared" si="0"/>
        <v>0</v>
      </c>
      <c r="AU12" s="40">
        <f t="shared" si="0"/>
        <v>0</v>
      </c>
      <c r="AV12" s="40">
        <f t="shared" si="0"/>
        <v>0</v>
      </c>
      <c r="AW12" s="40">
        <f t="shared" si="0"/>
        <v>0</v>
      </c>
      <c r="AX12" s="40">
        <f t="shared" si="0"/>
        <v>0</v>
      </c>
      <c r="AY12" s="36">
        <f>SUMPRODUCT(AN12:AX12,AN20:AX20)</f>
        <v>0.16666666666666666</v>
      </c>
      <c r="AZ12" s="37">
        <f t="shared" si="4"/>
        <v>0.18076644974692696</v>
      </c>
      <c r="BA12" s="4" t="s">
        <v>6</v>
      </c>
      <c r="BB12" s="4" t="s">
        <v>16</v>
      </c>
      <c r="BC12" s="4">
        <v>4</v>
      </c>
      <c r="BD12" s="5" t="s">
        <v>17</v>
      </c>
      <c r="BE12" s="4">
        <f>3.7854*2.2046</f>
        <v>8.3452928400000008</v>
      </c>
      <c r="BF12" s="5" t="s">
        <v>92</v>
      </c>
      <c r="BG12" s="5" t="s">
        <v>16</v>
      </c>
      <c r="BH12" s="4">
        <f t="shared" si="5"/>
        <v>1E-3</v>
      </c>
      <c r="BI12" s="5">
        <f t="shared" si="6"/>
        <v>8.3452928400000008E-3</v>
      </c>
      <c r="BJ12" s="318"/>
    </row>
    <row r="13" spans="1:62" ht="13.5" x14ac:dyDescent="0.25">
      <c r="A13" s="318"/>
      <c r="B13" s="302" t="s">
        <v>70</v>
      </c>
      <c r="C13" s="157">
        <v>1</v>
      </c>
      <c r="D13" s="50"/>
      <c r="E13" s="41" t="s">
        <v>186</v>
      </c>
      <c r="F13" s="48">
        <v>1070</v>
      </c>
      <c r="G13" s="49">
        <v>0.96499999999999997</v>
      </c>
      <c r="H13" s="51"/>
      <c r="I13" s="4" t="str">
        <f t="shared" si="7"/>
        <v>NX2565</v>
      </c>
      <c r="J13" s="45"/>
      <c r="K13" s="45"/>
      <c r="L13" s="45"/>
      <c r="M13" s="45"/>
      <c r="N13" s="45"/>
      <c r="O13" s="45"/>
      <c r="P13" s="45"/>
      <c r="Q13" s="45"/>
      <c r="R13" s="45"/>
      <c r="S13" s="45"/>
      <c r="T13" s="45"/>
      <c r="U13" s="36">
        <f>SUMPRODUCT(J13:T13,J20:T20)</f>
        <v>0</v>
      </c>
      <c r="V13" s="37" t="str">
        <f t="shared" si="8"/>
        <v/>
      </c>
      <c r="W13" s="38"/>
      <c r="X13" s="4" t="str">
        <f t="shared" si="9"/>
        <v>NX2565</v>
      </c>
      <c r="Y13" s="45">
        <v>0.05</v>
      </c>
      <c r="Z13" s="45">
        <v>0.2</v>
      </c>
      <c r="AA13" s="45">
        <v>0.05</v>
      </c>
      <c r="AB13" s="45"/>
      <c r="AC13" s="45"/>
      <c r="AD13" s="45"/>
      <c r="AE13" s="45"/>
      <c r="AF13" s="45"/>
      <c r="AG13" s="45"/>
      <c r="AH13" s="45"/>
      <c r="AI13" s="45"/>
      <c r="AJ13" s="36">
        <f>SUMPRODUCT(Y13:AI13,Y20:AI20)</f>
        <v>0.15</v>
      </c>
      <c r="AK13" s="37">
        <f t="shared" si="1"/>
        <v>0.15544041450777202</v>
      </c>
      <c r="AL13" s="39"/>
      <c r="AM13" s="4" t="str">
        <f t="shared" si="2"/>
        <v>NX2565</v>
      </c>
      <c r="AN13" s="40">
        <f t="shared" si="3"/>
        <v>0.05</v>
      </c>
      <c r="AO13" s="40">
        <f t="shared" si="3"/>
        <v>0.2</v>
      </c>
      <c r="AP13" s="40">
        <f t="shared" si="3"/>
        <v>0.05</v>
      </c>
      <c r="AQ13" s="40">
        <f t="shared" si="3"/>
        <v>0</v>
      </c>
      <c r="AR13" s="40">
        <f t="shared" si="0"/>
        <v>0</v>
      </c>
      <c r="AS13" s="40">
        <f t="shared" si="0"/>
        <v>0</v>
      </c>
      <c r="AT13" s="40">
        <f t="shared" si="0"/>
        <v>0</v>
      </c>
      <c r="AU13" s="40">
        <f t="shared" si="0"/>
        <v>0</v>
      </c>
      <c r="AV13" s="40">
        <f t="shared" si="0"/>
        <v>0</v>
      </c>
      <c r="AW13" s="40">
        <f t="shared" si="0"/>
        <v>0</v>
      </c>
      <c r="AX13" s="40">
        <f t="shared" si="0"/>
        <v>0</v>
      </c>
      <c r="AY13" s="36">
        <f>SUMPRODUCT(AN13:AX13,AN20:AX20)</f>
        <v>0.15</v>
      </c>
      <c r="AZ13" s="37">
        <f t="shared" si="4"/>
        <v>0.15544041450777202</v>
      </c>
      <c r="BA13" s="4" t="s">
        <v>6</v>
      </c>
      <c r="BB13" s="4" t="s">
        <v>20</v>
      </c>
      <c r="BC13" s="4">
        <v>5</v>
      </c>
      <c r="BD13" s="5" t="s">
        <v>11</v>
      </c>
      <c r="BE13" s="4">
        <f>(25.4*0.000001)^2*(0.3048)*2.2046*1000</f>
        <v>4.3352305553279992E-7</v>
      </c>
      <c r="BF13" s="5" t="s">
        <v>89</v>
      </c>
      <c r="BG13" s="5" t="s">
        <v>12</v>
      </c>
      <c r="BH13" s="4">
        <f t="shared" si="5"/>
        <v>1E-3</v>
      </c>
      <c r="BI13" s="5">
        <f t="shared" si="6"/>
        <v>4.3352305553279994E-10</v>
      </c>
      <c r="BJ13" s="318"/>
    </row>
    <row r="14" spans="1:62" ht="13.5" x14ac:dyDescent="0.25">
      <c r="A14" s="318"/>
      <c r="B14" s="11"/>
      <c r="C14" s="11"/>
      <c r="D14" s="11"/>
      <c r="E14" s="41" t="s">
        <v>187</v>
      </c>
      <c r="F14" s="48">
        <v>1150</v>
      </c>
      <c r="G14" s="49">
        <v>0.92700000000000005</v>
      </c>
      <c r="H14" s="11"/>
      <c r="I14" s="4" t="str">
        <f t="shared" si="7"/>
        <v>EXCEED 1327</v>
      </c>
      <c r="J14" s="45"/>
      <c r="K14" s="45"/>
      <c r="L14" s="45"/>
      <c r="M14" s="45"/>
      <c r="N14" s="45"/>
      <c r="O14" s="45"/>
      <c r="P14" s="45"/>
      <c r="Q14" s="45"/>
      <c r="R14" s="45"/>
      <c r="S14" s="45"/>
      <c r="T14" s="45"/>
      <c r="U14" s="36">
        <f>SUMPRODUCT(J14:T14,J20:T20)</f>
        <v>0</v>
      </c>
      <c r="V14" s="37" t="str">
        <f t="shared" si="8"/>
        <v/>
      </c>
      <c r="W14" s="38"/>
      <c r="X14" s="4" t="str">
        <f t="shared" si="9"/>
        <v>EXCEED 1327</v>
      </c>
      <c r="Y14" s="45">
        <v>0.95</v>
      </c>
      <c r="Z14" s="45"/>
      <c r="AA14" s="45">
        <v>0.95</v>
      </c>
      <c r="AB14" s="45"/>
      <c r="AC14" s="45"/>
      <c r="AD14" s="45"/>
      <c r="AE14" s="45"/>
      <c r="AF14" s="45"/>
      <c r="AG14" s="45"/>
      <c r="AH14" s="45"/>
      <c r="AI14" s="45"/>
      <c r="AJ14" s="36">
        <f>SUMPRODUCT(Y14:AI14,Y20:AI20)</f>
        <v>0.31666666666666665</v>
      </c>
      <c r="AK14" s="37">
        <f t="shared" si="1"/>
        <v>0.34160373966199203</v>
      </c>
      <c r="AL14" s="39"/>
      <c r="AM14" s="4" t="str">
        <f t="shared" si="2"/>
        <v>EXCEED 1327</v>
      </c>
      <c r="AN14" s="40">
        <f t="shared" si="3"/>
        <v>0.95</v>
      </c>
      <c r="AO14" s="40">
        <f t="shared" si="3"/>
        <v>0</v>
      </c>
      <c r="AP14" s="40">
        <f t="shared" si="3"/>
        <v>0.95</v>
      </c>
      <c r="AQ14" s="40">
        <f t="shared" si="3"/>
        <v>0</v>
      </c>
      <c r="AR14" s="40">
        <f t="shared" si="0"/>
        <v>0</v>
      </c>
      <c r="AS14" s="40">
        <f t="shared" si="0"/>
        <v>0</v>
      </c>
      <c r="AT14" s="40">
        <f t="shared" si="0"/>
        <v>0</v>
      </c>
      <c r="AU14" s="40">
        <f t="shared" si="0"/>
        <v>0</v>
      </c>
      <c r="AV14" s="40">
        <f t="shared" si="0"/>
        <v>0</v>
      </c>
      <c r="AW14" s="40">
        <f t="shared" si="0"/>
        <v>0</v>
      </c>
      <c r="AX14" s="40">
        <f t="shared" si="0"/>
        <v>0</v>
      </c>
      <c r="AY14" s="36">
        <f>SUMPRODUCT(AN14:AX14,AN20:AX20)</f>
        <v>0.31666666666666665</v>
      </c>
      <c r="AZ14" s="37">
        <f t="shared" si="4"/>
        <v>0.34160373966199203</v>
      </c>
      <c r="BA14" s="4" t="s">
        <v>6</v>
      </c>
      <c r="BB14" s="4" t="s">
        <v>21</v>
      </c>
      <c r="BC14" s="4">
        <v>6</v>
      </c>
      <c r="BD14" s="5" t="s">
        <v>14</v>
      </c>
      <c r="BE14" s="190">
        <f>(25.4*0.000001)*(0.3048)^2*2.2046*1000</f>
        <v>5.2022766663936005E-3</v>
      </c>
      <c r="BF14" s="5" t="s">
        <v>88</v>
      </c>
      <c r="BG14" s="5" t="s">
        <v>15</v>
      </c>
      <c r="BH14" s="4">
        <f t="shared" si="5"/>
        <v>1E-3</v>
      </c>
      <c r="BI14" s="5">
        <f t="shared" si="6"/>
        <v>5.202276666393601E-6</v>
      </c>
      <c r="BJ14" s="318"/>
    </row>
    <row r="15" spans="1:62" ht="13.5" x14ac:dyDescent="0.25">
      <c r="A15" s="318"/>
      <c r="B15" s="3" t="s">
        <v>102</v>
      </c>
      <c r="C15" s="157">
        <v>1</v>
      </c>
      <c r="D15" s="11"/>
      <c r="E15" s="41"/>
      <c r="F15" s="48"/>
      <c r="G15" s="49"/>
      <c r="H15" s="11"/>
      <c r="I15" s="4" t="str">
        <f t="shared" si="7"/>
        <v/>
      </c>
      <c r="J15" s="45"/>
      <c r="K15" s="45"/>
      <c r="L15" s="45"/>
      <c r="M15" s="45"/>
      <c r="N15" s="45"/>
      <c r="O15" s="45"/>
      <c r="P15" s="45"/>
      <c r="Q15" s="45"/>
      <c r="R15" s="45"/>
      <c r="S15" s="45"/>
      <c r="T15" s="45"/>
      <c r="U15" s="36">
        <f>SUMPRODUCT(J15:T15,J20:T20)</f>
        <v>0</v>
      </c>
      <c r="V15" s="37" t="str">
        <f t="shared" si="8"/>
        <v/>
      </c>
      <c r="W15" s="38"/>
      <c r="X15" s="4" t="str">
        <f t="shared" si="9"/>
        <v/>
      </c>
      <c r="Y15" s="45"/>
      <c r="Z15" s="45"/>
      <c r="AA15" s="45"/>
      <c r="AB15" s="45"/>
      <c r="AC15" s="45"/>
      <c r="AD15" s="45"/>
      <c r="AE15" s="45"/>
      <c r="AF15" s="45"/>
      <c r="AG15" s="45"/>
      <c r="AH15" s="45"/>
      <c r="AI15" s="45"/>
      <c r="AJ15" s="36">
        <f>SUMPRODUCT(Y15:AI15,Y20:AI20)</f>
        <v>0</v>
      </c>
      <c r="AK15" s="37" t="str">
        <f t="shared" si="1"/>
        <v/>
      </c>
      <c r="AL15" s="39"/>
      <c r="AM15" s="4">
        <f t="shared" si="2"/>
        <v>0</v>
      </c>
      <c r="AN15" s="40">
        <f t="shared" si="3"/>
        <v>0</v>
      </c>
      <c r="AO15" s="40">
        <f t="shared" si="3"/>
        <v>0</v>
      </c>
      <c r="AP15" s="40">
        <f t="shared" si="3"/>
        <v>0</v>
      </c>
      <c r="AQ15" s="40">
        <f t="shared" si="3"/>
        <v>0</v>
      </c>
      <c r="AR15" s="40">
        <f t="shared" si="0"/>
        <v>0</v>
      </c>
      <c r="AS15" s="40">
        <f t="shared" si="0"/>
        <v>0</v>
      </c>
      <c r="AT15" s="40">
        <f t="shared" si="0"/>
        <v>0</v>
      </c>
      <c r="AU15" s="40">
        <f t="shared" si="0"/>
        <v>0</v>
      </c>
      <c r="AV15" s="40">
        <f t="shared" si="0"/>
        <v>0</v>
      </c>
      <c r="AW15" s="40">
        <f t="shared" si="0"/>
        <v>0</v>
      </c>
      <c r="AX15" s="40">
        <f t="shared" si="0"/>
        <v>0</v>
      </c>
      <c r="AY15" s="36">
        <f>SUMPRODUCT(AN15:AX15,AN20:AX20)</f>
        <v>0</v>
      </c>
      <c r="AZ15" s="37" t="str">
        <f t="shared" si="4"/>
        <v/>
      </c>
      <c r="BA15" s="4" t="s">
        <v>6</v>
      </c>
      <c r="BB15" s="4" t="s">
        <v>7</v>
      </c>
      <c r="BC15" s="4">
        <v>7</v>
      </c>
      <c r="BD15" s="4" t="s">
        <v>8</v>
      </c>
      <c r="BE15" s="5"/>
      <c r="BF15" s="4" t="s">
        <v>8</v>
      </c>
      <c r="BG15" s="4" t="s">
        <v>8</v>
      </c>
      <c r="BH15" s="4">
        <f t="shared" si="5"/>
        <v>1E-3</v>
      </c>
      <c r="BI15" s="5">
        <f t="shared" si="6"/>
        <v>0</v>
      </c>
      <c r="BJ15" s="318"/>
    </row>
    <row r="16" spans="1:62" ht="13.5" x14ac:dyDescent="0.25">
      <c r="A16" s="318"/>
      <c r="B16" s="203"/>
      <c r="C16" s="203"/>
      <c r="D16" s="11"/>
      <c r="E16" s="41"/>
      <c r="F16" s="48"/>
      <c r="G16" s="49"/>
      <c r="H16" s="11"/>
      <c r="I16" s="4" t="str">
        <f t="shared" si="7"/>
        <v/>
      </c>
      <c r="J16" s="45"/>
      <c r="K16" s="45"/>
      <c r="L16" s="45"/>
      <c r="M16" s="45"/>
      <c r="N16" s="45"/>
      <c r="O16" s="45"/>
      <c r="P16" s="45"/>
      <c r="Q16" s="45"/>
      <c r="R16" s="45"/>
      <c r="S16" s="45"/>
      <c r="T16" s="45"/>
      <c r="U16" s="36">
        <f>SUMPRODUCT(J16:T16,J20:T20)</f>
        <v>0</v>
      </c>
      <c r="V16" s="37" t="str">
        <f t="shared" si="8"/>
        <v/>
      </c>
      <c r="W16" s="38"/>
      <c r="X16" s="4" t="str">
        <f t="shared" si="9"/>
        <v/>
      </c>
      <c r="Y16" s="45"/>
      <c r="Z16" s="45"/>
      <c r="AA16" s="45"/>
      <c r="AB16" s="45"/>
      <c r="AC16" s="45"/>
      <c r="AD16" s="45"/>
      <c r="AE16" s="45"/>
      <c r="AF16" s="45"/>
      <c r="AG16" s="45"/>
      <c r="AH16" s="45"/>
      <c r="AI16" s="45"/>
      <c r="AJ16" s="36">
        <f>SUMPRODUCT(Y16:AI16,Y20:AI20)</f>
        <v>0</v>
      </c>
      <c r="AK16" s="37" t="str">
        <f t="shared" si="1"/>
        <v/>
      </c>
      <c r="AL16" s="39"/>
      <c r="AM16" s="4">
        <f t="shared" si="2"/>
        <v>0</v>
      </c>
      <c r="AN16" s="40">
        <f t="shared" si="3"/>
        <v>0</v>
      </c>
      <c r="AO16" s="40">
        <f t="shared" si="3"/>
        <v>0</v>
      </c>
      <c r="AP16" s="40">
        <f t="shared" si="3"/>
        <v>0</v>
      </c>
      <c r="AQ16" s="40">
        <f t="shared" si="3"/>
        <v>0</v>
      </c>
      <c r="AR16" s="40">
        <f t="shared" si="0"/>
        <v>0</v>
      </c>
      <c r="AS16" s="40">
        <f t="shared" si="0"/>
        <v>0</v>
      </c>
      <c r="AT16" s="40">
        <f t="shared" si="0"/>
        <v>0</v>
      </c>
      <c r="AU16" s="40">
        <f t="shared" si="0"/>
        <v>0</v>
      </c>
      <c r="AV16" s="40">
        <f t="shared" si="0"/>
        <v>0</v>
      </c>
      <c r="AW16" s="40">
        <f t="shared" si="0"/>
        <v>0</v>
      </c>
      <c r="AX16" s="40">
        <f t="shared" si="0"/>
        <v>0</v>
      </c>
      <c r="AY16" s="36">
        <f>SUMPRODUCT(AN16:AX16,AN20:AX20)</f>
        <v>0</v>
      </c>
      <c r="AZ16" s="37" t="str">
        <f t="shared" si="4"/>
        <v/>
      </c>
      <c r="BA16" s="4" t="s">
        <v>6</v>
      </c>
      <c r="BB16" s="4" t="s">
        <v>22</v>
      </c>
      <c r="BC16" s="4">
        <v>8</v>
      </c>
      <c r="BD16" s="5" t="s">
        <v>23</v>
      </c>
      <c r="BE16" s="4">
        <f>(0.001)^2*2.2046*1000</f>
        <v>2.2046000000000001E-3</v>
      </c>
      <c r="BF16" s="5" t="s">
        <v>87</v>
      </c>
      <c r="BG16" s="5" t="s">
        <v>24</v>
      </c>
      <c r="BH16" s="4">
        <f t="shared" si="5"/>
        <v>1E-3</v>
      </c>
      <c r="BI16" s="5">
        <f t="shared" si="6"/>
        <v>2.2046E-6</v>
      </c>
      <c r="BJ16" s="318"/>
    </row>
    <row r="17" spans="1:62" ht="13.5" x14ac:dyDescent="0.25">
      <c r="A17" s="318"/>
      <c r="B17" s="11"/>
      <c r="C17" s="11"/>
      <c r="D17" s="11"/>
      <c r="E17" s="41"/>
      <c r="F17" s="48"/>
      <c r="G17" s="49"/>
      <c r="H17" s="11"/>
      <c r="I17" s="4" t="str">
        <f t="shared" si="7"/>
        <v/>
      </c>
      <c r="J17" s="45"/>
      <c r="K17" s="45"/>
      <c r="L17" s="45"/>
      <c r="M17" s="45"/>
      <c r="N17" s="45"/>
      <c r="O17" s="45"/>
      <c r="P17" s="45"/>
      <c r="Q17" s="45"/>
      <c r="R17" s="45"/>
      <c r="S17" s="45"/>
      <c r="T17" s="45"/>
      <c r="U17" s="36">
        <f>SUMPRODUCT(J17:T17,J20:T20)</f>
        <v>0</v>
      </c>
      <c r="V17" s="37" t="str">
        <f t="shared" si="8"/>
        <v/>
      </c>
      <c r="W17" s="38"/>
      <c r="X17" s="4" t="str">
        <f t="shared" si="9"/>
        <v/>
      </c>
      <c r="Y17" s="45"/>
      <c r="Z17" s="45"/>
      <c r="AA17" s="45"/>
      <c r="AB17" s="45"/>
      <c r="AC17" s="45"/>
      <c r="AD17" s="45"/>
      <c r="AE17" s="45"/>
      <c r="AF17" s="45"/>
      <c r="AG17" s="45"/>
      <c r="AH17" s="45"/>
      <c r="AI17" s="45"/>
      <c r="AJ17" s="36">
        <f>SUMPRODUCT(Y17:AI17,Y20:AI20)</f>
        <v>0</v>
      </c>
      <c r="AK17" s="37" t="str">
        <f t="shared" si="1"/>
        <v/>
      </c>
      <c r="AL17" s="39"/>
      <c r="AM17" s="4">
        <f t="shared" si="2"/>
        <v>0</v>
      </c>
      <c r="AN17" s="40">
        <f t="shared" si="3"/>
        <v>0</v>
      </c>
      <c r="AO17" s="40">
        <f t="shared" si="3"/>
        <v>0</v>
      </c>
      <c r="AP17" s="40">
        <f t="shared" si="3"/>
        <v>0</v>
      </c>
      <c r="AQ17" s="40">
        <f t="shared" si="3"/>
        <v>0</v>
      </c>
      <c r="AR17" s="40">
        <f t="shared" si="0"/>
        <v>0</v>
      </c>
      <c r="AS17" s="40">
        <f t="shared" si="0"/>
        <v>0</v>
      </c>
      <c r="AT17" s="40">
        <f t="shared" si="0"/>
        <v>0</v>
      </c>
      <c r="AU17" s="40">
        <f t="shared" si="0"/>
        <v>0</v>
      </c>
      <c r="AV17" s="40">
        <f t="shared" si="0"/>
        <v>0</v>
      </c>
      <c r="AW17" s="40">
        <f t="shared" si="0"/>
        <v>0</v>
      </c>
      <c r="AX17" s="40">
        <f t="shared" si="0"/>
        <v>0</v>
      </c>
      <c r="AY17" s="36">
        <f>SUMPRODUCT(AN17:AX17,AN20:AX20)</f>
        <v>0</v>
      </c>
      <c r="AZ17" s="37" t="str">
        <f t="shared" si="4"/>
        <v/>
      </c>
      <c r="BA17" s="4" t="s">
        <v>6</v>
      </c>
      <c r="BB17" s="4" t="s">
        <v>25</v>
      </c>
      <c r="BC17" s="4">
        <v>9</v>
      </c>
      <c r="BD17" s="5" t="s">
        <v>26</v>
      </c>
      <c r="BE17" s="4">
        <f>0.001*2.2046*1000</f>
        <v>2.2046000000000001</v>
      </c>
      <c r="BF17" s="5" t="s">
        <v>86</v>
      </c>
      <c r="BG17" s="5" t="s">
        <v>27</v>
      </c>
      <c r="BH17" s="4">
        <f t="shared" si="5"/>
        <v>1E-3</v>
      </c>
      <c r="BI17" s="5">
        <f t="shared" si="6"/>
        <v>2.2046000000000001E-3</v>
      </c>
      <c r="BJ17" s="318"/>
    </row>
    <row r="18" spans="1:62" ht="13.5" x14ac:dyDescent="0.25">
      <c r="A18" s="318"/>
      <c r="B18" s="11"/>
      <c r="C18" s="11"/>
      <c r="D18" s="11"/>
      <c r="E18" s="47"/>
      <c r="F18" s="54"/>
      <c r="G18" s="55"/>
      <c r="H18" s="11"/>
      <c r="I18" s="4" t="str">
        <f t="shared" si="7"/>
        <v/>
      </c>
      <c r="J18" s="56"/>
      <c r="K18" s="56"/>
      <c r="L18" s="56"/>
      <c r="M18" s="56"/>
      <c r="N18" s="56"/>
      <c r="O18" s="56"/>
      <c r="P18" s="56"/>
      <c r="Q18" s="56"/>
      <c r="R18" s="56"/>
      <c r="S18" s="56"/>
      <c r="T18" s="56"/>
      <c r="U18" s="36">
        <f>SUMPRODUCT(J18:T18,J20:T20)</f>
        <v>0</v>
      </c>
      <c r="V18" s="37" t="str">
        <f>IF($C$13&lt;&gt;1,U18*$G18,IF(U18&lt;&gt;0,U18/$G18,""))</f>
        <v/>
      </c>
      <c r="W18" s="38"/>
      <c r="X18" s="4" t="str">
        <f t="shared" si="9"/>
        <v/>
      </c>
      <c r="Y18" s="45"/>
      <c r="Z18" s="45"/>
      <c r="AA18" s="45"/>
      <c r="AB18" s="45"/>
      <c r="AC18" s="45"/>
      <c r="AD18" s="45"/>
      <c r="AE18" s="45"/>
      <c r="AF18" s="45"/>
      <c r="AG18" s="45"/>
      <c r="AH18" s="45"/>
      <c r="AI18" s="45"/>
      <c r="AJ18" s="36">
        <f>SUMPRODUCT(Y18:AI18,Y20:AI20)</f>
        <v>0</v>
      </c>
      <c r="AK18" s="37" t="str">
        <f t="shared" si="1"/>
        <v/>
      </c>
      <c r="AL18" s="39"/>
      <c r="AM18" s="4">
        <f t="shared" si="2"/>
        <v>0</v>
      </c>
      <c r="AN18" s="57">
        <f t="shared" si="3"/>
        <v>0</v>
      </c>
      <c r="AO18" s="57">
        <f t="shared" si="3"/>
        <v>0</v>
      </c>
      <c r="AP18" s="57">
        <f t="shared" si="3"/>
        <v>0</v>
      </c>
      <c r="AQ18" s="57">
        <f t="shared" si="3"/>
        <v>0</v>
      </c>
      <c r="AR18" s="57">
        <f t="shared" si="0"/>
        <v>0</v>
      </c>
      <c r="AS18" s="57">
        <f t="shared" si="0"/>
        <v>0</v>
      </c>
      <c r="AT18" s="57">
        <f t="shared" si="0"/>
        <v>0</v>
      </c>
      <c r="AU18" s="57">
        <f t="shared" si="0"/>
        <v>0</v>
      </c>
      <c r="AV18" s="57">
        <f t="shared" si="0"/>
        <v>0</v>
      </c>
      <c r="AW18" s="57">
        <f t="shared" si="0"/>
        <v>0</v>
      </c>
      <c r="AX18" s="57">
        <f t="shared" si="0"/>
        <v>0</v>
      </c>
      <c r="AY18" s="36">
        <f>SUMPRODUCT(AN18:AX18,AN20:AX20)</f>
        <v>0</v>
      </c>
      <c r="AZ18" s="37" t="str">
        <f t="shared" si="4"/>
        <v/>
      </c>
      <c r="BA18" s="4" t="s">
        <v>6</v>
      </c>
      <c r="BB18" s="4" t="s">
        <v>28</v>
      </c>
      <c r="BC18" s="4">
        <v>10</v>
      </c>
      <c r="BD18" s="5" t="s">
        <v>29</v>
      </c>
      <c r="BE18" s="4">
        <f>2.2046</f>
        <v>2.2046000000000001</v>
      </c>
      <c r="BF18" s="5" t="s">
        <v>93</v>
      </c>
      <c r="BG18" s="5" t="s">
        <v>30</v>
      </c>
      <c r="BH18" s="4">
        <f t="shared" si="5"/>
        <v>1E-3</v>
      </c>
      <c r="BI18" s="5">
        <f t="shared" si="6"/>
        <v>2.2046000000000001E-3</v>
      </c>
      <c r="BJ18" s="318"/>
    </row>
    <row r="19" spans="1:62" ht="13.5" x14ac:dyDescent="0.25">
      <c r="A19" s="318"/>
      <c r="B19" s="69" t="s">
        <v>75</v>
      </c>
      <c r="C19" s="70"/>
      <c r="D19" s="70"/>
      <c r="E19" s="200" t="str">
        <f>E6</f>
        <v>ENABLE 3505</v>
      </c>
      <c r="F19" s="58">
        <v>1200</v>
      </c>
      <c r="G19" s="59">
        <v>0.93500000000000005</v>
      </c>
      <c r="H19" s="11"/>
      <c r="I19" s="4"/>
      <c r="J19" s="36"/>
      <c r="K19" s="36"/>
      <c r="L19" s="36"/>
      <c r="M19" s="36"/>
      <c r="N19" s="36"/>
      <c r="O19" s="36"/>
      <c r="P19" s="36"/>
      <c r="Q19" s="36"/>
      <c r="R19" s="36"/>
      <c r="S19" s="36"/>
      <c r="T19" s="36"/>
      <c r="U19" s="60"/>
      <c r="V19" s="61"/>
      <c r="W19" s="38"/>
      <c r="X19" s="36" t="str">
        <f t="shared" ref="X19" si="10">$E19</f>
        <v>ENABLE 3505</v>
      </c>
      <c r="Y19" s="62"/>
      <c r="Z19" s="62">
        <v>0.55000000000000004</v>
      </c>
      <c r="AA19" s="62"/>
      <c r="AB19" s="62"/>
      <c r="AC19" s="62"/>
      <c r="AD19" s="62"/>
      <c r="AE19" s="62"/>
      <c r="AF19" s="62"/>
      <c r="AG19" s="62"/>
      <c r="AH19" s="62"/>
      <c r="AI19" s="62"/>
      <c r="AJ19" s="36">
        <f>SUMPRODUCT(Y19:AI19,Y20:AI20)</f>
        <v>0.3666666666666667</v>
      </c>
      <c r="AK19" s="37">
        <f t="shared" si="1"/>
        <v>0.39215686274509803</v>
      </c>
      <c r="AL19" s="39"/>
      <c r="AM19" s="36" t="str">
        <f>E6</f>
        <v>ENABLE 3505</v>
      </c>
      <c r="AN19" s="36">
        <f t="shared" si="3"/>
        <v>0</v>
      </c>
      <c r="AO19" s="36">
        <f t="shared" si="3"/>
        <v>0.55000000000000004</v>
      </c>
      <c r="AP19" s="36">
        <f t="shared" si="3"/>
        <v>0</v>
      </c>
      <c r="AQ19" s="36">
        <f t="shared" si="3"/>
        <v>0</v>
      </c>
      <c r="AR19" s="36">
        <f t="shared" si="0"/>
        <v>0</v>
      </c>
      <c r="AS19" s="36">
        <f t="shared" si="0"/>
        <v>0</v>
      </c>
      <c r="AT19" s="36">
        <f t="shared" si="0"/>
        <v>0</v>
      </c>
      <c r="AU19" s="36">
        <f t="shared" si="0"/>
        <v>0</v>
      </c>
      <c r="AV19" s="36">
        <f t="shared" si="0"/>
        <v>0</v>
      </c>
      <c r="AW19" s="36">
        <f t="shared" si="0"/>
        <v>0</v>
      </c>
      <c r="AX19" s="36">
        <f t="shared" si="0"/>
        <v>0</v>
      </c>
      <c r="AY19" s="36">
        <f>SUMPRODUCT(AN19:AX19,AN20:AX20)</f>
        <v>0.3666666666666667</v>
      </c>
      <c r="AZ19" s="37">
        <f t="shared" si="4"/>
        <v>0.39215686274509803</v>
      </c>
      <c r="BA19" s="4" t="s">
        <v>6</v>
      </c>
      <c r="BB19" s="4" t="s">
        <v>31</v>
      </c>
      <c r="BC19" s="4">
        <v>11</v>
      </c>
      <c r="BD19" s="5" t="s">
        <v>23</v>
      </c>
      <c r="BE19" s="4">
        <f>(0.000001)^2*2.2046*1000</f>
        <v>2.2046E-9</v>
      </c>
      <c r="BF19" s="5" t="s">
        <v>87</v>
      </c>
      <c r="BG19" s="5" t="s">
        <v>24</v>
      </c>
      <c r="BH19" s="4">
        <f t="shared" si="5"/>
        <v>1E-3</v>
      </c>
      <c r="BI19" s="5">
        <f t="shared" si="6"/>
        <v>2.2046000000000001E-12</v>
      </c>
      <c r="BJ19" s="318"/>
    </row>
    <row r="20" spans="1:62" ht="13.5" x14ac:dyDescent="0.25">
      <c r="A20" s="318"/>
      <c r="B20" s="11"/>
      <c r="C20" s="11"/>
      <c r="D20" s="11"/>
      <c r="E20" s="11"/>
      <c r="F20" s="11"/>
      <c r="G20" s="11"/>
      <c r="H20" s="11"/>
      <c r="I20" s="63"/>
      <c r="J20" s="64">
        <f>J8/SUM(J8:T8)</f>
        <v>0.2</v>
      </c>
      <c r="K20" s="64">
        <f>K8/SUM(J8:T8)</f>
        <v>0.6</v>
      </c>
      <c r="L20" s="64">
        <f>L8/SUM(J8:T8)</f>
        <v>0.2</v>
      </c>
      <c r="M20" s="64">
        <f>M8/SUM(J8:T8)</f>
        <v>0</v>
      </c>
      <c r="N20" s="64">
        <f>N8/SUM(J8:T8)</f>
        <v>0</v>
      </c>
      <c r="O20" s="64">
        <f>O8/SUM(J8:T8)</f>
        <v>0</v>
      </c>
      <c r="P20" s="64">
        <f>P8/SUM(J8:T8)</f>
        <v>0</v>
      </c>
      <c r="Q20" s="64">
        <f>Q8/SUM(J8:T8)</f>
        <v>0</v>
      </c>
      <c r="R20" s="64">
        <f>R8/SUM(J8:T8)</f>
        <v>0</v>
      </c>
      <c r="S20" s="64">
        <f>S8/SUM(J8:T8)</f>
        <v>0</v>
      </c>
      <c r="T20" s="64">
        <f>T8/SUM(J8:T8)</f>
        <v>0</v>
      </c>
      <c r="U20" s="65">
        <f>IF(SUM(U9:U19)&lt;&gt;100%,"&lt;&gt; 100% !!",SUM(U9:U19))</f>
        <v>1</v>
      </c>
      <c r="V20" s="66"/>
      <c r="W20" s="38"/>
      <c r="X20" s="63"/>
      <c r="Y20" s="64">
        <f>Y8/SUM(Y8:AI8)</f>
        <v>0.16666666666666666</v>
      </c>
      <c r="Z20" s="64">
        <f>Z8/SUM(Y8:AI8)</f>
        <v>0.66666666666666663</v>
      </c>
      <c r="AA20" s="64">
        <f>AA8/SUM(Y8:AI8)</f>
        <v>0.16666666666666666</v>
      </c>
      <c r="AB20" s="64">
        <f>AB8/SUM(Y8:AI8)</f>
        <v>0</v>
      </c>
      <c r="AC20" s="64">
        <f>AC8/SUM(Y8:AI8)</f>
        <v>0</v>
      </c>
      <c r="AD20" s="64">
        <f>AD8/SUM(Y8:AI8)</f>
        <v>0</v>
      </c>
      <c r="AE20" s="64">
        <f>AE8/SUM(Y8:AI8)</f>
        <v>0</v>
      </c>
      <c r="AF20" s="64">
        <f>AF8/SUM(Y8:AI8)</f>
        <v>0</v>
      </c>
      <c r="AG20" s="64">
        <f>AG8/SUM(Y8:AI8)</f>
        <v>0</v>
      </c>
      <c r="AH20" s="64">
        <f>AH8/SUM(Y8:AI8)</f>
        <v>0</v>
      </c>
      <c r="AI20" s="64">
        <f>AI8/SUM(Y8:AI8)</f>
        <v>0</v>
      </c>
      <c r="AJ20" s="65">
        <f>IF(SUM(AJ9:AJ19)&lt;&gt;100%,"&lt;&gt; 100% !!",SUM(AJ9:AJ19))</f>
        <v>1</v>
      </c>
      <c r="AK20" s="66"/>
      <c r="AL20" s="66"/>
      <c r="AM20" s="63"/>
      <c r="AN20" s="65">
        <f>AN8/SUM(AN8:AX8)</f>
        <v>0.16666666666666666</v>
      </c>
      <c r="AO20" s="65">
        <f>AO8/SUM(AN8:AX8)</f>
        <v>0.66666666666666663</v>
      </c>
      <c r="AP20" s="65">
        <f>AP8/SUM(AN8:AX8)</f>
        <v>0.16666666666666666</v>
      </c>
      <c r="AQ20" s="65">
        <f>AQ8/SUM($AN8:$AX8)</f>
        <v>0</v>
      </c>
      <c r="AR20" s="65">
        <f t="shared" ref="AR20:AX20" si="11">AR8/SUM($AN8:$AX8)</f>
        <v>0</v>
      </c>
      <c r="AS20" s="65">
        <f t="shared" si="11"/>
        <v>0</v>
      </c>
      <c r="AT20" s="65">
        <f t="shared" si="11"/>
        <v>0</v>
      </c>
      <c r="AU20" s="65">
        <f t="shared" si="11"/>
        <v>0</v>
      </c>
      <c r="AV20" s="65">
        <f t="shared" si="11"/>
        <v>0</v>
      </c>
      <c r="AW20" s="65">
        <f t="shared" si="11"/>
        <v>0</v>
      </c>
      <c r="AX20" s="65">
        <f t="shared" si="11"/>
        <v>0</v>
      </c>
      <c r="AY20" s="67">
        <f>IF(SUM(AY9:AY19)&lt;&gt;100%,"&lt;&gt; 100% !!",SUM(AY9:AY19))</f>
        <v>1</v>
      </c>
      <c r="AZ20" s="24"/>
      <c r="BA20" s="4" t="s">
        <v>6</v>
      </c>
      <c r="BB20" s="4" t="s">
        <v>32</v>
      </c>
      <c r="BC20" s="4">
        <v>12</v>
      </c>
      <c r="BD20" s="5" t="s">
        <v>26</v>
      </c>
      <c r="BE20" s="4">
        <f>0.000001*2.2046*1000</f>
        <v>2.2046000000000001E-3</v>
      </c>
      <c r="BF20" s="5" t="s">
        <v>86</v>
      </c>
      <c r="BG20" s="5" t="s">
        <v>27</v>
      </c>
      <c r="BH20" s="4">
        <f t="shared" si="5"/>
        <v>1E-3</v>
      </c>
      <c r="BI20" s="5">
        <f t="shared" si="6"/>
        <v>2.2046E-6</v>
      </c>
      <c r="BJ20" s="318"/>
    </row>
    <row r="21" spans="1:62" ht="3" customHeight="1" x14ac:dyDescent="0.25">
      <c r="A21" s="318"/>
      <c r="B21" s="11"/>
      <c r="C21" s="11"/>
      <c r="D21" s="11"/>
      <c r="E21" s="11"/>
      <c r="F21" s="11"/>
      <c r="G21" s="11"/>
      <c r="H21" s="11"/>
      <c r="I21" s="52"/>
      <c r="J21" s="52"/>
      <c r="K21" s="52"/>
      <c r="L21" s="52"/>
      <c r="M21" s="52"/>
      <c r="N21" s="52"/>
      <c r="O21" s="52"/>
      <c r="P21" s="52"/>
      <c r="Q21" s="52"/>
      <c r="R21" s="52"/>
      <c r="S21" s="52"/>
      <c r="T21" s="52"/>
      <c r="U21" s="68"/>
      <c r="V21" s="66"/>
      <c r="W21" s="38"/>
      <c r="X21" s="52"/>
      <c r="Y21" s="52"/>
      <c r="Z21" s="52"/>
      <c r="AA21" s="52"/>
      <c r="AB21" s="52"/>
      <c r="AC21" s="52"/>
      <c r="AD21" s="52"/>
      <c r="AE21" s="52"/>
      <c r="AF21" s="52"/>
      <c r="AG21" s="52"/>
      <c r="AH21" s="52"/>
      <c r="AI21" s="52"/>
      <c r="AJ21" s="68"/>
      <c r="AK21" s="66"/>
      <c r="AL21" s="66"/>
      <c r="AM21" s="28"/>
      <c r="AN21" s="28"/>
      <c r="AO21" s="28"/>
      <c r="AP21" s="28"/>
      <c r="AQ21" s="28"/>
      <c r="AR21" s="28"/>
      <c r="AS21" s="28"/>
      <c r="AT21" s="28"/>
      <c r="AU21" s="28"/>
      <c r="AV21" s="28"/>
      <c r="AW21" s="28"/>
      <c r="AX21" s="28"/>
      <c r="AY21" s="66"/>
      <c r="AZ21" s="24"/>
      <c r="BA21" s="4" t="s">
        <v>33</v>
      </c>
      <c r="BB21" s="4" t="s">
        <v>7</v>
      </c>
      <c r="BC21" s="4">
        <v>13</v>
      </c>
      <c r="BD21" s="5" t="s">
        <v>8</v>
      </c>
      <c r="BE21" s="5"/>
      <c r="BF21" s="5" t="s">
        <v>8</v>
      </c>
      <c r="BG21" s="5" t="s">
        <v>8</v>
      </c>
      <c r="BH21" s="4">
        <f t="shared" si="5"/>
        <v>1E-3</v>
      </c>
      <c r="BI21" s="5">
        <f t="shared" si="6"/>
        <v>0</v>
      </c>
      <c r="BJ21" s="318"/>
    </row>
    <row r="22" spans="1:62" ht="13.5" x14ac:dyDescent="0.25">
      <c r="A22" s="318"/>
      <c r="B22" s="69" t="str">
        <f>IF(COUNT(B23:F26)&gt;1,"!! MORE THAN 1 UNIT SELECTED !!",IF(COUNT(B23:F26)=0,"!! NO UNIT SELECTED !!","THICKNESS, SECTION or VOLUME UNIT"))</f>
        <v>THICKNESS, SECTION or VOLUME UNIT</v>
      </c>
      <c r="C22" s="69"/>
      <c r="D22" s="69"/>
      <c r="E22" s="69"/>
      <c r="F22" s="69"/>
      <c r="G22" s="69"/>
      <c r="H22" s="11"/>
      <c r="I22" s="5" t="str">
        <f>CONCATENATE(I5," CONVERTER BUSINESS SIZE")</f>
        <v>REFERENCE CONVERTER BUSINESS SIZE</v>
      </c>
      <c r="J22" s="70"/>
      <c r="K22" s="70"/>
      <c r="L22" s="70"/>
      <c r="M22" s="71">
        <v>10</v>
      </c>
      <c r="N22" s="6" t="str">
        <f>VLOOKUP(1,J28:L30,2)</f>
        <v>KT</v>
      </c>
      <c r="O22" s="52"/>
      <c r="P22" s="52"/>
      <c r="Q22" s="52"/>
      <c r="R22" s="52"/>
      <c r="S22" s="52"/>
      <c r="T22" s="52"/>
      <c r="U22" s="68"/>
      <c r="V22" s="28"/>
      <c r="W22" s="23"/>
      <c r="X22" s="215" t="s">
        <v>58</v>
      </c>
      <c r="Y22" s="72"/>
      <c r="Z22" s="72"/>
      <c r="AA22" s="72"/>
      <c r="AB22" s="73">
        <v>0.79</v>
      </c>
      <c r="AC22" s="6"/>
      <c r="AD22" s="52"/>
      <c r="AE22" s="52"/>
      <c r="AF22" s="52"/>
      <c r="AG22" s="52"/>
      <c r="AH22" s="52"/>
      <c r="AI22" s="52"/>
      <c r="AJ22" s="68"/>
      <c r="AK22" s="7"/>
      <c r="AL22" s="7"/>
      <c r="AM22" s="74"/>
      <c r="AN22" s="75"/>
      <c r="AO22" s="75"/>
      <c r="AP22" s="75"/>
      <c r="AQ22" s="75"/>
      <c r="AR22" s="75"/>
      <c r="AS22" s="75"/>
      <c r="AT22" s="75"/>
      <c r="AU22" s="75"/>
      <c r="AV22" s="75"/>
      <c r="AW22" s="75"/>
      <c r="AX22" s="24"/>
      <c r="AY22" s="7"/>
      <c r="AZ22" s="24"/>
      <c r="BA22" s="4" t="s">
        <v>33</v>
      </c>
      <c r="BB22" s="4" t="s">
        <v>10</v>
      </c>
      <c r="BC22" s="4">
        <v>14</v>
      </c>
      <c r="BD22" s="5" t="s">
        <v>34</v>
      </c>
      <c r="BE22" s="4">
        <f>(25.4*0.001)^2*(0.3048)*1000</f>
        <v>0.19664476800000003</v>
      </c>
      <c r="BF22" s="5" t="s">
        <v>85</v>
      </c>
      <c r="BG22" s="5" t="s">
        <v>12</v>
      </c>
      <c r="BH22" s="4">
        <f t="shared" si="5"/>
        <v>1E-3</v>
      </c>
      <c r="BI22" s="5">
        <f t="shared" si="6"/>
        <v>1.9664476800000002E-4</v>
      </c>
      <c r="BJ22" s="318"/>
    </row>
    <row r="23" spans="1:62" ht="13.5" x14ac:dyDescent="0.25">
      <c r="A23" s="318"/>
      <c r="B23" s="30">
        <v>1</v>
      </c>
      <c r="C23" s="4" t="s">
        <v>37</v>
      </c>
      <c r="D23" s="30"/>
      <c r="E23" s="4" t="s">
        <v>38</v>
      </c>
      <c r="F23" s="76"/>
      <c r="G23" s="4" t="s">
        <v>39</v>
      </c>
      <c r="H23" s="11"/>
      <c r="I23" s="5"/>
      <c r="J23" s="6"/>
      <c r="K23" s="6"/>
      <c r="L23" s="6"/>
      <c r="M23" s="6"/>
      <c r="N23" s="6"/>
      <c r="O23" s="52"/>
      <c r="P23" s="52"/>
      <c r="Q23" s="52"/>
      <c r="R23" s="52"/>
      <c r="S23" s="52"/>
      <c r="T23" s="52"/>
      <c r="U23" s="68"/>
      <c r="V23" s="24"/>
      <c r="W23" s="23"/>
      <c r="X23" s="215" t="str">
        <f>CONCATENATE(X5," BUSINESS SIZE")</f>
        <v>ALTERNATIVE BUSINESS SIZE</v>
      </c>
      <c r="Y23" s="77"/>
      <c r="Z23" s="77"/>
      <c r="AA23" s="77"/>
      <c r="AB23" s="78">
        <f>ROUND(M22*AB22,2)</f>
        <v>7.9</v>
      </c>
      <c r="AC23" s="79" t="str">
        <f>VLOOKUP(1,J28:L30,2)</f>
        <v>KT</v>
      </c>
      <c r="AD23" s="52"/>
      <c r="AE23" s="52"/>
      <c r="AF23" s="52"/>
      <c r="AG23" s="52"/>
      <c r="AH23" s="52"/>
      <c r="AI23" s="52"/>
      <c r="AJ23" s="68"/>
      <c r="AK23" s="7"/>
      <c r="AL23" s="7"/>
      <c r="AM23" s="80"/>
      <c r="AN23" s="301"/>
      <c r="AO23" s="301"/>
      <c r="AP23" s="301"/>
      <c r="AQ23" s="301"/>
      <c r="AR23" s="301"/>
      <c r="AS23" s="301"/>
      <c r="AT23" s="301"/>
      <c r="AU23" s="301"/>
      <c r="AV23" s="301"/>
      <c r="AW23" s="301"/>
      <c r="AX23" s="81"/>
      <c r="AY23" s="82"/>
      <c r="AZ23" s="24"/>
      <c r="BA23" s="4" t="s">
        <v>33</v>
      </c>
      <c r="BB23" s="4" t="s">
        <v>13</v>
      </c>
      <c r="BC23" s="4">
        <v>15</v>
      </c>
      <c r="BD23" s="5" t="s">
        <v>35</v>
      </c>
      <c r="BE23" s="4">
        <f>(25.4*0.001)*(0.3048)^2*1000</f>
        <v>2.3597372160000001</v>
      </c>
      <c r="BF23" s="5" t="s">
        <v>84</v>
      </c>
      <c r="BG23" s="5" t="s">
        <v>15</v>
      </c>
      <c r="BH23" s="4">
        <f t="shared" si="5"/>
        <v>1E-3</v>
      </c>
      <c r="BI23" s="5">
        <f t="shared" si="6"/>
        <v>2.3597372160000002E-3</v>
      </c>
      <c r="BJ23" s="318"/>
    </row>
    <row r="24" spans="1:62" ht="13.5" x14ac:dyDescent="0.25">
      <c r="A24" s="318"/>
      <c r="B24" s="41"/>
      <c r="C24" s="4" t="s">
        <v>40</v>
      </c>
      <c r="D24" s="41"/>
      <c r="E24" s="4" t="s">
        <v>41</v>
      </c>
      <c r="F24" s="4"/>
      <c r="G24" s="4"/>
      <c r="H24" s="11"/>
      <c r="I24" s="5" t="str">
        <f>CONCATENATE(I5," CONVERTER SALES PRICE")</f>
        <v>REFERENCE CONVERTER SALES PRICE</v>
      </c>
      <c r="J24" s="70"/>
      <c r="K24" s="70"/>
      <c r="L24" s="70"/>
      <c r="M24" s="58">
        <v>1300</v>
      </c>
      <c r="N24" s="6" t="str">
        <f>N27</f>
        <v>$/TON</v>
      </c>
      <c r="O24" s="52"/>
      <c r="P24" s="52"/>
      <c r="Q24" s="52"/>
      <c r="R24" s="52"/>
      <c r="S24" s="52"/>
      <c r="T24" s="52"/>
      <c r="U24" s="68"/>
      <c r="V24" s="7"/>
      <c r="W24" s="11"/>
      <c r="X24" s="5" t="s">
        <v>67</v>
      </c>
      <c r="Y24" s="72"/>
      <c r="Z24" s="72"/>
      <c r="AA24" s="72"/>
      <c r="AB24" s="71">
        <v>1610</v>
      </c>
      <c r="AC24" s="6" t="str">
        <f>N27</f>
        <v>$/TON</v>
      </c>
      <c r="AD24" s="52"/>
      <c r="AE24" s="52"/>
      <c r="AF24" s="52"/>
      <c r="AG24" s="52"/>
      <c r="AH24" s="52"/>
      <c r="AI24" s="52"/>
      <c r="AJ24" s="68"/>
      <c r="AK24" s="28"/>
      <c r="AL24" s="28"/>
      <c r="AM24" s="15"/>
      <c r="AN24" s="75"/>
      <c r="AO24" s="75"/>
      <c r="AP24" s="75"/>
      <c r="AQ24" s="75"/>
      <c r="AR24" s="75"/>
      <c r="AS24" s="75"/>
      <c r="AT24" s="75"/>
      <c r="AU24" s="75"/>
      <c r="AV24" s="75"/>
      <c r="AW24" s="75"/>
      <c r="AX24" s="81"/>
      <c r="AY24" s="7"/>
      <c r="AZ24" s="24"/>
      <c r="BA24" s="4" t="s">
        <v>33</v>
      </c>
      <c r="BB24" s="4" t="s">
        <v>16</v>
      </c>
      <c r="BC24" s="4">
        <v>16</v>
      </c>
      <c r="BD24" s="5" t="s">
        <v>36</v>
      </c>
      <c r="BE24" s="4">
        <v>3.7854000000000001</v>
      </c>
      <c r="BF24" s="5" t="s">
        <v>94</v>
      </c>
      <c r="BG24" s="5" t="s">
        <v>16</v>
      </c>
      <c r="BH24" s="4">
        <f t="shared" si="5"/>
        <v>1E-3</v>
      </c>
      <c r="BI24" s="5">
        <f t="shared" si="6"/>
        <v>3.7854E-3</v>
      </c>
      <c r="BJ24" s="318"/>
    </row>
    <row r="25" spans="1:62" ht="13.5" x14ac:dyDescent="0.25">
      <c r="A25" s="318"/>
      <c r="B25" s="30"/>
      <c r="C25" s="4" t="s">
        <v>21</v>
      </c>
      <c r="D25" s="30"/>
      <c r="E25" s="4" t="s">
        <v>20</v>
      </c>
      <c r="F25" s="76"/>
      <c r="G25" s="4" t="s">
        <v>43</v>
      </c>
      <c r="H25" s="11"/>
      <c r="I25" s="5" t="s">
        <v>91</v>
      </c>
      <c r="J25" s="70"/>
      <c r="K25" s="70"/>
      <c r="L25" s="70"/>
      <c r="M25" s="36">
        <f>M24/Z44</f>
        <v>1.2579833559125218</v>
      </c>
      <c r="N25" s="6"/>
      <c r="O25" s="52"/>
      <c r="P25" s="52"/>
      <c r="Q25" s="52"/>
      <c r="R25" s="52"/>
      <c r="S25" s="52"/>
      <c r="T25" s="52"/>
      <c r="U25" s="68"/>
      <c r="V25" s="84"/>
      <c r="W25" s="51"/>
      <c r="X25" s="5" t="s">
        <v>91</v>
      </c>
      <c r="Y25" s="70"/>
      <c r="Z25" s="70"/>
      <c r="AA25" s="70"/>
      <c r="AB25" s="36">
        <f>AB24/AB44</f>
        <v>1.41268963822861</v>
      </c>
      <c r="AC25" s="6"/>
      <c r="AD25" s="52"/>
      <c r="AE25" s="52"/>
      <c r="AF25" s="52"/>
      <c r="AG25" s="52"/>
      <c r="AH25" s="52"/>
      <c r="AI25" s="52"/>
      <c r="AJ25" s="68"/>
      <c r="AK25" s="7"/>
      <c r="AL25" s="7"/>
      <c r="AM25" s="84"/>
      <c r="AN25" s="7"/>
      <c r="AO25" s="7"/>
      <c r="AP25" s="7"/>
      <c r="AQ25" s="7"/>
      <c r="AR25" s="7"/>
      <c r="AS25" s="7"/>
      <c r="AT25" s="7"/>
      <c r="AU25" s="7"/>
      <c r="AV25" s="7"/>
      <c r="AW25" s="7"/>
      <c r="AX25" s="24"/>
      <c r="AY25" s="7"/>
      <c r="AZ25" s="7"/>
      <c r="BA25" s="4" t="s">
        <v>33</v>
      </c>
      <c r="BB25" s="4" t="s">
        <v>20</v>
      </c>
      <c r="BC25" s="4">
        <v>17</v>
      </c>
      <c r="BD25" s="5" t="s">
        <v>34</v>
      </c>
      <c r="BE25" s="4">
        <f>(25.4*0.000001)^2*(0.3048)*1000</f>
        <v>1.9664476799999998E-7</v>
      </c>
      <c r="BF25" s="5" t="s">
        <v>85</v>
      </c>
      <c r="BG25" s="5" t="s">
        <v>12</v>
      </c>
      <c r="BH25" s="4">
        <f t="shared" si="5"/>
        <v>1E-3</v>
      </c>
      <c r="BI25" s="5">
        <f t="shared" si="6"/>
        <v>1.9664476799999999E-10</v>
      </c>
      <c r="BJ25" s="318"/>
    </row>
    <row r="26" spans="1:62" ht="13.5" x14ac:dyDescent="0.25">
      <c r="A26" s="318"/>
      <c r="B26" s="47"/>
      <c r="C26" s="4" t="s">
        <v>45</v>
      </c>
      <c r="D26" s="47"/>
      <c r="E26" s="4" t="s">
        <v>46</v>
      </c>
      <c r="F26" s="4"/>
      <c r="G26" s="4"/>
      <c r="H26" s="11"/>
      <c r="I26" s="5" t="s">
        <v>54</v>
      </c>
      <c r="J26" s="70"/>
      <c r="K26" s="70"/>
      <c r="L26" s="70"/>
      <c r="M26" s="85">
        <v>31</v>
      </c>
      <c r="N26" s="6" t="s">
        <v>53</v>
      </c>
      <c r="O26" s="52"/>
      <c r="P26" s="52"/>
      <c r="Q26" s="52"/>
      <c r="R26" s="52"/>
      <c r="S26" s="52"/>
      <c r="T26" s="52"/>
      <c r="U26" s="68"/>
      <c r="V26" s="7"/>
      <c r="W26" s="11"/>
      <c r="X26" s="5" t="str">
        <f>CONCATENATE(BC6,"  REDUCTION vs. ",I5)</f>
        <v>THICKNESS  REDUCTION vs. REFERENCE</v>
      </c>
      <c r="Y26" s="70"/>
      <c r="Z26" s="70"/>
      <c r="AA26" s="70"/>
      <c r="AB26" s="36">
        <f>($U6-AJ6)/$U6</f>
        <v>0.25</v>
      </c>
      <c r="AC26" s="6"/>
      <c r="AD26" s="52"/>
      <c r="AE26" s="52"/>
      <c r="AF26" s="52"/>
      <c r="AG26" s="52"/>
      <c r="AH26" s="52"/>
      <c r="AI26" s="52"/>
      <c r="AJ26" s="68"/>
      <c r="AK26" s="84"/>
      <c r="AL26" s="84"/>
      <c r="AM26" s="15"/>
      <c r="AN26" s="86"/>
      <c r="AO26" s="86"/>
      <c r="AP26" s="86"/>
      <c r="AQ26" s="86"/>
      <c r="AR26" s="86"/>
      <c r="AS26" s="86"/>
      <c r="AT26" s="86"/>
      <c r="AU26" s="86"/>
      <c r="AV26" s="86"/>
      <c r="AW26" s="86"/>
      <c r="AX26" s="24"/>
      <c r="AY26" s="7"/>
      <c r="AZ26" s="7"/>
      <c r="BA26" s="4" t="s">
        <v>33</v>
      </c>
      <c r="BB26" s="4" t="s">
        <v>21</v>
      </c>
      <c r="BC26" s="4">
        <v>18</v>
      </c>
      <c r="BD26" s="5" t="s">
        <v>35</v>
      </c>
      <c r="BE26" s="190">
        <f>(25.4*0.000001)*(0.3048)^2*1000</f>
        <v>2.3597372159999998E-3</v>
      </c>
      <c r="BF26" s="5" t="s">
        <v>84</v>
      </c>
      <c r="BG26" s="5" t="s">
        <v>15</v>
      </c>
      <c r="BH26" s="4">
        <f t="shared" si="5"/>
        <v>1E-3</v>
      </c>
      <c r="BI26" s="5">
        <f t="shared" si="6"/>
        <v>2.3597372159999999E-6</v>
      </c>
      <c r="BJ26" s="318"/>
    </row>
    <row r="27" spans="1:62" ht="13.5" x14ac:dyDescent="0.25">
      <c r="A27" s="318"/>
      <c r="B27" s="11"/>
      <c r="C27" s="11"/>
      <c r="D27" s="11"/>
      <c r="E27" s="11"/>
      <c r="F27" s="11"/>
      <c r="G27" s="11"/>
      <c r="H27" s="11"/>
      <c r="I27" s="5" t="str">
        <f>CONCATENATE(I5," LOGISTICS COSTS")</f>
        <v>REFERENCE LOGISTICS COSTS</v>
      </c>
      <c r="J27" s="70"/>
      <c r="K27" s="70"/>
      <c r="L27" s="70"/>
      <c r="M27" s="54">
        <v>50</v>
      </c>
      <c r="N27" s="6" t="str">
        <f>F8</f>
        <v>$/TON</v>
      </c>
      <c r="O27" s="52"/>
      <c r="P27" s="52"/>
      <c r="Q27" s="52"/>
      <c r="R27" s="52"/>
      <c r="S27" s="52"/>
      <c r="T27" s="52"/>
      <c r="U27" s="68"/>
      <c r="V27" s="7"/>
      <c r="W27" s="11"/>
      <c r="X27" s="5" t="str">
        <f>CONCATENATE("PERFORMANCE vs. ",I5)</f>
        <v>PERFORMANCE vs. REFERENCE</v>
      </c>
      <c r="Y27" s="70"/>
      <c r="Z27" s="70"/>
      <c r="AA27" s="70"/>
      <c r="AB27" s="73">
        <v>1.05</v>
      </c>
      <c r="AC27" s="6"/>
      <c r="AD27" s="52"/>
      <c r="AE27" s="52"/>
      <c r="AF27" s="52"/>
      <c r="AG27" s="52"/>
      <c r="AH27" s="52"/>
      <c r="AI27" s="52"/>
      <c r="AJ27" s="68"/>
      <c r="AK27" s="7"/>
      <c r="AL27" s="7"/>
      <c r="AM27" s="300"/>
      <c r="AN27" s="300"/>
      <c r="AO27" s="300"/>
      <c r="AP27" s="300"/>
      <c r="AQ27" s="300"/>
      <c r="AR27" s="300"/>
      <c r="AS27" s="300"/>
      <c r="AT27" s="300"/>
      <c r="AU27" s="300"/>
      <c r="AV27" s="300"/>
      <c r="AW27" s="300"/>
      <c r="AX27" s="300"/>
      <c r="AY27" s="300"/>
      <c r="AZ27" s="7"/>
      <c r="BA27" s="4" t="s">
        <v>33</v>
      </c>
      <c r="BB27" s="4" t="s">
        <v>7</v>
      </c>
      <c r="BC27" s="4">
        <v>19</v>
      </c>
      <c r="BD27" s="4" t="s">
        <v>8</v>
      </c>
      <c r="BE27" s="5"/>
      <c r="BF27" s="4" t="s">
        <v>8</v>
      </c>
      <c r="BG27" s="4" t="s">
        <v>8</v>
      </c>
      <c r="BH27" s="4">
        <f t="shared" si="5"/>
        <v>1E-3</v>
      </c>
      <c r="BI27" s="5">
        <f t="shared" si="6"/>
        <v>0</v>
      </c>
      <c r="BJ27" s="318"/>
    </row>
    <row r="28" spans="1:62" ht="13.5" hidden="1" x14ac:dyDescent="0.25">
      <c r="A28" s="318"/>
      <c r="B28" s="7"/>
      <c r="C28" s="7"/>
      <c r="D28" s="7"/>
      <c r="E28" s="7"/>
      <c r="F28" s="7"/>
      <c r="G28" s="7"/>
      <c r="H28" s="7"/>
      <c r="I28" s="87"/>
      <c r="J28" s="88" t="str">
        <f>IF(B9="","",B9)</f>
        <v/>
      </c>
      <c r="K28" s="88" t="s">
        <v>51</v>
      </c>
      <c r="L28" s="88">
        <v>1</v>
      </c>
      <c r="M28" s="88" t="str">
        <f>CONCATENATE("M",B6)</f>
        <v>M$</v>
      </c>
      <c r="N28" s="88"/>
      <c r="O28" s="52"/>
      <c r="P28" s="52"/>
      <c r="Q28" s="52"/>
      <c r="R28" s="52"/>
      <c r="S28" s="52"/>
      <c r="T28" s="52"/>
      <c r="U28" s="68"/>
      <c r="V28" s="84"/>
      <c r="W28" s="84"/>
      <c r="X28" s="24"/>
      <c r="Y28" s="24"/>
      <c r="Z28" s="24"/>
      <c r="AA28" s="24"/>
      <c r="AB28" s="24"/>
      <c r="AC28" s="24"/>
      <c r="AD28" s="52"/>
      <c r="AE28" s="52"/>
      <c r="AF28" s="52"/>
      <c r="AG28" s="52"/>
      <c r="AH28" s="52"/>
      <c r="AI28" s="52"/>
      <c r="AJ28" s="68"/>
      <c r="AK28" s="24"/>
      <c r="AL28" s="24"/>
      <c r="AM28" s="7"/>
      <c r="AN28" s="7"/>
      <c r="AO28" s="7"/>
      <c r="AP28" s="7"/>
      <c r="AQ28" s="7"/>
      <c r="AR28" s="7"/>
      <c r="AS28" s="7"/>
      <c r="AT28" s="7"/>
      <c r="AU28" s="7"/>
      <c r="AV28" s="7"/>
      <c r="AW28" s="7"/>
      <c r="AX28" s="7"/>
      <c r="AY28" s="7"/>
      <c r="AZ28" s="7"/>
      <c r="BA28" s="4" t="s">
        <v>33</v>
      </c>
      <c r="BB28" s="4" t="s">
        <v>22</v>
      </c>
      <c r="BC28" s="4">
        <v>20</v>
      </c>
      <c r="BD28" s="5" t="s">
        <v>42</v>
      </c>
      <c r="BE28" s="189">
        <f>(0.001)^2*1000</f>
        <v>1E-3</v>
      </c>
      <c r="BF28" s="5" t="s">
        <v>90</v>
      </c>
      <c r="BG28" s="5" t="s">
        <v>24</v>
      </c>
      <c r="BH28" s="4">
        <f t="shared" si="5"/>
        <v>1E-3</v>
      </c>
      <c r="BI28" s="5">
        <f t="shared" si="6"/>
        <v>9.9999999999999995E-7</v>
      </c>
      <c r="BJ28" s="318"/>
    </row>
    <row r="29" spans="1:62" ht="13.5" hidden="1" x14ac:dyDescent="0.25">
      <c r="A29" s="318"/>
      <c r="B29" s="7"/>
      <c r="C29" s="7"/>
      <c r="D29" s="7"/>
      <c r="E29" s="7"/>
      <c r="F29" s="7"/>
      <c r="G29" s="7"/>
      <c r="H29" s="7"/>
      <c r="I29" s="87"/>
      <c r="J29" s="88">
        <f>IF(B10="","",B10)</f>
        <v>1</v>
      </c>
      <c r="K29" s="88" t="s">
        <v>51</v>
      </c>
      <c r="L29" s="88">
        <v>1000</v>
      </c>
      <c r="M29" s="88" t="str">
        <f>CONCATENATE("M",B6)</f>
        <v>M$</v>
      </c>
      <c r="N29" s="88"/>
      <c r="O29" s="52"/>
      <c r="P29" s="52"/>
      <c r="Q29" s="52"/>
      <c r="R29" s="52"/>
      <c r="S29" s="52"/>
      <c r="T29" s="52"/>
      <c r="U29" s="68"/>
      <c r="V29" s="7"/>
      <c r="W29" s="7"/>
      <c r="X29" s="89"/>
      <c r="Y29" s="89"/>
      <c r="Z29" s="89"/>
      <c r="AA29" s="89"/>
      <c r="AB29" s="89"/>
      <c r="AC29" s="89"/>
      <c r="AD29" s="52"/>
      <c r="AE29" s="52"/>
      <c r="AF29" s="52"/>
      <c r="AG29" s="52"/>
      <c r="AH29" s="52"/>
      <c r="AI29" s="52"/>
      <c r="AJ29" s="68"/>
      <c r="AK29" s="7"/>
      <c r="AL29" s="7"/>
      <c r="AM29" s="86"/>
      <c r="AN29" s="86"/>
      <c r="AO29" s="86"/>
      <c r="AP29" s="86"/>
      <c r="AQ29" s="86"/>
      <c r="AR29" s="86"/>
      <c r="AS29" s="86"/>
      <c r="AT29" s="86"/>
      <c r="AU29" s="86"/>
      <c r="AV29" s="86"/>
      <c r="AW29" s="86"/>
      <c r="AX29" s="86"/>
      <c r="AY29" s="24"/>
      <c r="AZ29" s="7"/>
      <c r="BA29" s="4" t="s">
        <v>33</v>
      </c>
      <c r="BB29" s="4" t="s">
        <v>25</v>
      </c>
      <c r="BC29" s="4">
        <v>21</v>
      </c>
      <c r="BD29" s="5" t="s">
        <v>44</v>
      </c>
      <c r="BE29" s="189">
        <f>(0.001)*1000</f>
        <v>1</v>
      </c>
      <c r="BF29" s="5" t="s">
        <v>83</v>
      </c>
      <c r="BG29" s="5" t="s">
        <v>27</v>
      </c>
      <c r="BH29" s="4">
        <f t="shared" si="5"/>
        <v>1E-3</v>
      </c>
      <c r="BI29" s="5">
        <f t="shared" si="6"/>
        <v>1E-3</v>
      </c>
      <c r="BJ29" s="318"/>
    </row>
    <row r="30" spans="1:62" ht="13.5" hidden="1" x14ac:dyDescent="0.25">
      <c r="A30" s="318"/>
      <c r="B30" s="7"/>
      <c r="C30" s="7"/>
      <c r="D30" s="7"/>
      <c r="E30" s="7"/>
      <c r="F30" s="7"/>
      <c r="G30" s="7"/>
      <c r="H30" s="7"/>
      <c r="I30" s="87"/>
      <c r="J30" s="88" t="str">
        <f>IF(B11="","",B11)</f>
        <v/>
      </c>
      <c r="K30" s="88" t="s">
        <v>52</v>
      </c>
      <c r="L30" s="88">
        <v>1</v>
      </c>
      <c r="M30" s="88" t="str">
        <f>CONCATENATE("M",B6)</f>
        <v>M$</v>
      </c>
      <c r="N30" s="88"/>
      <c r="O30" s="52"/>
      <c r="P30" s="52"/>
      <c r="Q30" s="52"/>
      <c r="R30" s="52"/>
      <c r="S30" s="52"/>
      <c r="T30" s="52"/>
      <c r="U30" s="68"/>
      <c r="V30" s="89"/>
      <c r="W30" s="90"/>
      <c r="X30" s="89"/>
      <c r="Y30" s="89"/>
      <c r="Z30" s="89"/>
      <c r="AA30" s="89"/>
      <c r="AB30" s="89"/>
      <c r="AC30" s="89"/>
      <c r="AD30" s="52"/>
      <c r="AE30" s="52"/>
      <c r="AF30" s="52"/>
      <c r="AG30" s="52"/>
      <c r="AH30" s="52"/>
      <c r="AI30" s="52"/>
      <c r="AJ30" s="68"/>
      <c r="AK30" s="89"/>
      <c r="AL30" s="89"/>
      <c r="AM30" s="28"/>
      <c r="AN30" s="28"/>
      <c r="AO30" s="28"/>
      <c r="AP30" s="28"/>
      <c r="AQ30" s="28"/>
      <c r="AR30" s="28"/>
      <c r="AS30" s="28"/>
      <c r="AT30" s="28"/>
      <c r="AU30" s="28"/>
      <c r="AV30" s="28"/>
      <c r="AW30" s="28"/>
      <c r="AX30" s="28"/>
      <c r="AY30" s="24"/>
      <c r="AZ30" s="7"/>
      <c r="BA30" s="4" t="s">
        <v>33</v>
      </c>
      <c r="BB30" s="4" t="s">
        <v>28</v>
      </c>
      <c r="BC30" s="4">
        <v>22</v>
      </c>
      <c r="BD30" s="5" t="s">
        <v>47</v>
      </c>
      <c r="BE30" s="5">
        <v>1</v>
      </c>
      <c r="BF30" s="5" t="s">
        <v>95</v>
      </c>
      <c r="BG30" s="5" t="s">
        <v>30</v>
      </c>
      <c r="BH30" s="4">
        <f t="shared" si="5"/>
        <v>1E-3</v>
      </c>
      <c r="BI30" s="5">
        <f t="shared" si="6"/>
        <v>1E-3</v>
      </c>
      <c r="BJ30" s="318"/>
    </row>
    <row r="31" spans="1:62" ht="3" customHeight="1" x14ac:dyDescent="0.25">
      <c r="A31" s="318"/>
      <c r="B31" s="11"/>
      <c r="C31" s="11"/>
      <c r="D31" s="11"/>
      <c r="E31" s="11"/>
      <c r="F31" s="11"/>
      <c r="G31" s="11"/>
      <c r="H31" s="11"/>
      <c r="I31" s="22"/>
      <c r="J31" s="22"/>
      <c r="K31" s="22"/>
      <c r="L31" s="22"/>
      <c r="M31" s="22"/>
      <c r="N31" s="22"/>
      <c r="O31" s="52"/>
      <c r="P31" s="52"/>
      <c r="Q31" s="52"/>
      <c r="R31" s="52"/>
      <c r="S31" s="52"/>
      <c r="T31" s="52"/>
      <c r="U31" s="68"/>
      <c r="V31" s="28"/>
      <c r="W31" s="46"/>
      <c r="X31" s="22"/>
      <c r="Y31" s="22"/>
      <c r="Z31" s="22"/>
      <c r="AA31" s="22"/>
      <c r="AB31" s="22"/>
      <c r="AC31" s="22"/>
      <c r="AD31" s="52"/>
      <c r="AE31" s="52"/>
      <c r="AF31" s="52"/>
      <c r="AG31" s="52"/>
      <c r="AH31" s="52"/>
      <c r="AI31" s="52"/>
      <c r="AJ31" s="68"/>
      <c r="AK31" s="89"/>
      <c r="AL31" s="89"/>
      <c r="AM31" s="28"/>
      <c r="AN31" s="28"/>
      <c r="AO31" s="28"/>
      <c r="AP31" s="28"/>
      <c r="AQ31" s="28"/>
      <c r="AR31" s="28"/>
      <c r="AS31" s="28"/>
      <c r="AT31" s="28"/>
      <c r="AU31" s="28"/>
      <c r="AV31" s="28"/>
      <c r="AW31" s="28"/>
      <c r="AX31" s="28"/>
      <c r="AY31" s="24"/>
      <c r="AZ31" s="24"/>
      <c r="BA31" s="4" t="s">
        <v>33</v>
      </c>
      <c r="BB31" s="4" t="s">
        <v>31</v>
      </c>
      <c r="BC31" s="4">
        <v>23</v>
      </c>
      <c r="BD31" s="5" t="s">
        <v>42</v>
      </c>
      <c r="BE31" s="189">
        <f>(0.000001)^2*1000</f>
        <v>1.0000000000000001E-9</v>
      </c>
      <c r="BF31" s="5" t="s">
        <v>90</v>
      </c>
      <c r="BG31" s="5" t="s">
        <v>24</v>
      </c>
      <c r="BH31" s="4">
        <f t="shared" si="5"/>
        <v>1E-3</v>
      </c>
      <c r="BI31" s="5">
        <f t="shared" si="6"/>
        <v>1.0000000000000002E-12</v>
      </c>
      <c r="BJ31" s="318"/>
    </row>
    <row r="32" spans="1:62" ht="25.5" x14ac:dyDescent="0.25">
      <c r="A32" s="318"/>
      <c r="B32" s="7"/>
      <c r="C32" s="7"/>
      <c r="D32" s="7"/>
      <c r="E32" s="7"/>
      <c r="F32" s="7"/>
      <c r="G32" s="7">
        <v>1</v>
      </c>
      <c r="H32" s="7"/>
      <c r="I32" s="98" t="str">
        <f>CONCATENATE("CONVERTER REALIZATION for ",I5)</f>
        <v>CONVERTER REALIZATION for REFERENCE</v>
      </c>
      <c r="J32" s="70"/>
      <c r="K32" s="70"/>
      <c r="L32" s="70">
        <v>1</v>
      </c>
      <c r="M32" s="70"/>
      <c r="N32" s="70"/>
      <c r="O32" s="52"/>
      <c r="P32" s="52"/>
      <c r="Q32" s="52"/>
      <c r="R32" s="52"/>
      <c r="S32" s="52"/>
      <c r="T32" s="52"/>
      <c r="U32" s="68"/>
      <c r="V32" s="28"/>
      <c r="W32" s="46"/>
      <c r="X32" s="69" t="str">
        <f>CONCATENATE(E6," VALUE CAPTURE PRICE LEVELS")</f>
        <v>ENABLE 3505 VALUE CAPTURE PRICE LEVELS</v>
      </c>
      <c r="Y32" s="70"/>
      <c r="Z32" s="70"/>
      <c r="AA32" s="70"/>
      <c r="AB32" s="70"/>
      <c r="AC32" s="70"/>
      <c r="AD32" s="52"/>
      <c r="AE32" s="52"/>
      <c r="AF32" s="52"/>
      <c r="AG32" s="52"/>
      <c r="AH32" s="52"/>
      <c r="AI32" s="52"/>
      <c r="AJ32" s="68"/>
      <c r="AK32" s="179"/>
      <c r="AL32" s="179"/>
      <c r="AM32" s="180" t="s">
        <v>65</v>
      </c>
      <c r="AN32" s="180"/>
      <c r="AO32" s="180"/>
      <c r="AP32" s="180"/>
      <c r="AQ32" s="180"/>
      <c r="AR32" s="180"/>
      <c r="AS32" s="180"/>
      <c r="AT32" s="180"/>
      <c r="AU32" s="180"/>
      <c r="AV32" s="180"/>
      <c r="AW32" s="180"/>
      <c r="AX32" s="180"/>
      <c r="AY32" s="181"/>
      <c r="AZ32" s="24"/>
      <c r="BA32" s="4" t="s">
        <v>33</v>
      </c>
      <c r="BB32" s="4" t="s">
        <v>32</v>
      </c>
      <c r="BC32" s="4">
        <v>24</v>
      </c>
      <c r="BD32" s="5" t="s">
        <v>44</v>
      </c>
      <c r="BE32" s="189">
        <f>0.000001*1000</f>
        <v>1E-3</v>
      </c>
      <c r="BF32" s="5" t="s">
        <v>83</v>
      </c>
      <c r="BG32" s="5" t="s">
        <v>27</v>
      </c>
      <c r="BH32" s="4">
        <f t="shared" si="5"/>
        <v>1E-3</v>
      </c>
      <c r="BI32" s="5">
        <f t="shared" si="6"/>
        <v>9.9999999999999995E-7</v>
      </c>
      <c r="BJ32" s="318"/>
    </row>
    <row r="33" spans="1:62" ht="13.5" x14ac:dyDescent="0.25">
      <c r="A33" s="318"/>
      <c r="B33" s="7"/>
      <c r="C33" s="7"/>
      <c r="D33" s="7"/>
      <c r="E33" s="7"/>
      <c r="F33" s="7"/>
      <c r="G33" s="7"/>
      <c r="H33" s="7"/>
      <c r="I33" s="6" t="s">
        <v>57</v>
      </c>
      <c r="J33" s="5"/>
      <c r="K33" s="5"/>
      <c r="L33" s="167" t="str">
        <f>CONCATENATE(Z45,N22," * ",ROUND(J60,2),X44," =")</f>
        <v>10KT * 1300$/TON =</v>
      </c>
      <c r="M33" s="37">
        <f>ROUND((M22*J60)/LOOKUP(1,J28:J30,L28:L30),3)</f>
        <v>13</v>
      </c>
      <c r="N33" s="4" t="str">
        <f>CONCATENATE(LOOKUP(1,J28:J30,M28:M30)," pa")</f>
        <v>M$ pa</v>
      </c>
      <c r="O33" s="52"/>
      <c r="P33" s="52"/>
      <c r="Q33" s="52"/>
      <c r="R33" s="52"/>
      <c r="S33" s="52"/>
      <c r="T33" s="52"/>
      <c r="U33" s="68"/>
      <c r="V33" s="28"/>
      <c r="W33" s="52"/>
      <c r="X33" s="305" t="str">
        <f>CONCATENATE("EMC % value capture (VC) when ",E6," is priced at the level to the right")</f>
        <v>EMC % value capture (VC) when ENABLE 3505 is priced at the level to the right</v>
      </c>
      <c r="Y33" s="306"/>
      <c r="Z33" s="306"/>
      <c r="AA33" s="36" t="s">
        <v>78</v>
      </c>
      <c r="AB33" s="78">
        <f>AK33+AY33</f>
        <v>1975.2517800064802</v>
      </c>
      <c r="AC33" s="6" t="str">
        <f>N27</f>
        <v>$/TON</v>
      </c>
      <c r="AD33" s="52"/>
      <c r="AE33" s="52"/>
      <c r="AF33" s="52"/>
      <c r="AG33" s="52"/>
      <c r="AH33" s="52"/>
      <c r="AI33" s="52"/>
      <c r="AJ33" s="68"/>
      <c r="AK33" s="182">
        <f>IF($C$13&lt;&gt;1,(U47*100%*100%*100%-AJ$6*SUMPRODUCT($F$9:$F$18,$G$9:$G$18,AJ$9:AJ$18)*AK47)/(AJ$6*$G$19*AJ$19*AK47),(U47*100%*100%*100%-AJ$6*AB$42*SUMPRODUCT($F$9:$F$18,AJ$9:AJ$18)*AK47)/(AJ$6*AB$42*AJ$19*AK47))</f>
        <v>1834.8867101924452</v>
      </c>
      <c r="AL33" s="183"/>
      <c r="AM33" s="184" t="str">
        <f>CONCATENATE("100% of VC in ",F8)</f>
        <v>100% of VC in $/TON</v>
      </c>
      <c r="AN33" s="184"/>
      <c r="AO33" s="184"/>
      <c r="AP33" s="184"/>
      <c r="AQ33" s="184"/>
      <c r="AR33" s="184"/>
      <c r="AS33" s="184"/>
      <c r="AT33" s="184"/>
      <c r="AU33" s="184"/>
      <c r="AV33" s="184"/>
      <c r="AW33" s="184"/>
      <c r="AX33" s="184"/>
      <c r="AY33" s="174">
        <f>IF(AB27&gt;=100%,AZ33-AZ35,AZ33-AZ35)</f>
        <v>140.365069814035</v>
      </c>
      <c r="AZ33" s="5">
        <f>IF($C$13&lt;&gt;1,(U47*AB27*100%-AY$6*SUMPRODUCT($F$9:$F$18,$G$9:$G$18,AY$9:AY$18)*AZ47)/(AY$6*$G$19*AY$19*AZ47),(U47*AB27*100%-AY$6*AB$42*SUMPRODUCT($F$9:$F$18,AY$9:AY$18)*AZ47)/(AY$6*AB$42*AY$19*AZ47))</f>
        <v>1039.4846479129142</v>
      </c>
      <c r="BA33" s="24"/>
      <c r="BB33" s="24"/>
      <c r="BC33" s="24"/>
      <c r="BD33" s="24"/>
      <c r="BE33" s="24"/>
      <c r="BF33" s="24"/>
      <c r="BG33" s="24"/>
      <c r="BH33" s="24"/>
      <c r="BI33" s="24"/>
      <c r="BJ33" s="318"/>
    </row>
    <row r="34" spans="1:62" ht="13.5" x14ac:dyDescent="0.25">
      <c r="A34" s="318"/>
      <c r="B34" s="7"/>
      <c r="C34" s="7"/>
      <c r="D34" s="7"/>
      <c r="E34" s="7"/>
      <c r="F34" s="7"/>
      <c r="G34" s="7"/>
      <c r="H34" s="7"/>
      <c r="I34" s="6" t="s">
        <v>55</v>
      </c>
      <c r="J34" s="5"/>
      <c r="K34" s="5"/>
      <c r="L34" s="167" t="str">
        <f>CONCATENATE(ROUND(Z45,2),N22," * ",ROUND(Z44,2),X44," =")</f>
        <v>10KT * 1033.4$/TON =</v>
      </c>
      <c r="M34" s="37">
        <f>ROUND((-M22*Z44)/LOOKUP(1,J28:J30,L28:L30),3)</f>
        <v>-10.334</v>
      </c>
      <c r="N34" s="4" t="str">
        <f>CONCATENATE(LOOKUP(1,J28:J30,M28:M30)," pa")</f>
        <v>M$ pa</v>
      </c>
      <c r="O34" s="52"/>
      <c r="P34" s="52"/>
      <c r="Q34" s="52"/>
      <c r="R34" s="52"/>
      <c r="S34" s="52"/>
      <c r="T34" s="52"/>
      <c r="U34" s="68"/>
      <c r="V34" s="28"/>
      <c r="W34" s="156"/>
      <c r="X34" s="306"/>
      <c r="Y34" s="306"/>
      <c r="Z34" s="306"/>
      <c r="AA34" s="36" t="s">
        <v>79</v>
      </c>
      <c r="AB34" s="78">
        <f>AK34+AY34</f>
        <v>1443.6386524343939</v>
      </c>
      <c r="AC34" s="164" t="str">
        <f>N27</f>
        <v>$/TON</v>
      </c>
      <c r="AD34" s="52"/>
      <c r="AE34" s="52"/>
      <c r="AF34" s="52"/>
      <c r="AG34" s="52"/>
      <c r="AH34" s="52"/>
      <c r="AI34" s="52"/>
      <c r="AJ34" s="68"/>
      <c r="AK34" s="182">
        <f>IF($C$13&lt;&gt;1,(U47*(100%-ABS(AB26)*0.5)*(100%-(Z42-AB42)/Z42*0.5)*100%-AJ$6*SUMPRODUCT($F$9:$F$18,$G$9:$G$18,AJ$9:AJ$18)*AK48)/(AJ$6*$G$19*AJ$19*AK48),(U47*(100%-ABS(AB26)*0.5)*(100%-(Z42-AB42)/Z42*0.5)*100%-AJ$6*AB$42*SUMPRODUCT($F$9:$F$18,AJ$9:AJ$18)*AK48)/(AJ$6*AB$42*AJ$19*AK48))</f>
        <v>1373.4561175273766</v>
      </c>
      <c r="AL34" s="183"/>
      <c r="AM34" s="184" t="str">
        <f>CONCATENATE("50% of VC in ",F8)</f>
        <v>50% of VC in $/TON</v>
      </c>
      <c r="AN34" s="184"/>
      <c r="AO34" s="184"/>
      <c r="AP34" s="184"/>
      <c r="AQ34" s="184"/>
      <c r="AR34" s="184"/>
      <c r="AS34" s="184"/>
      <c r="AT34" s="184"/>
      <c r="AU34" s="184"/>
      <c r="AV34" s="184"/>
      <c r="AW34" s="184"/>
      <c r="AX34" s="184"/>
      <c r="AY34" s="174">
        <f>IF(AB27&gt;=100%,AZ34-AZ35,AZ33-AZ35)</f>
        <v>70.182534907017271</v>
      </c>
      <c r="AZ34" s="5">
        <f>IF($C$13&lt;&gt;1,(U47*(100%+(AB27-100%)*0.5)-AY$6*SUMPRODUCT($F$9:$F$18,$G$9:$G$18,AY$9:AY$18)*AZ48)/(AY$6*$G$19*AY$19*AZ48),(U47*(100%+(AB27-100%)*0.5)-AY$6*AB$42*SUMPRODUCT($F$9:$F$18,AY$9:AY$18)*AZ48)/(AY$6*AB$42*AY$19*AZ48))</f>
        <v>969.30211300589644</v>
      </c>
      <c r="BA34" s="89"/>
      <c r="BB34" s="81"/>
      <c r="BC34" s="81"/>
      <c r="BD34" s="81"/>
      <c r="BE34" s="81"/>
      <c r="BF34" s="81"/>
      <c r="BG34" s="81"/>
      <c r="BH34" s="81"/>
      <c r="BI34" s="24"/>
      <c r="BJ34" s="318"/>
    </row>
    <row r="35" spans="1:62" ht="14.25" thickBot="1" x14ac:dyDescent="0.3">
      <c r="A35" s="318"/>
      <c r="B35" s="7"/>
      <c r="C35" s="7"/>
      <c r="D35" s="7"/>
      <c r="E35" s="7"/>
      <c r="F35" s="7"/>
      <c r="G35" s="7"/>
      <c r="H35" s="7"/>
      <c r="I35" s="6" t="s">
        <v>56</v>
      </c>
      <c r="J35" s="5"/>
      <c r="K35" s="5"/>
      <c r="L35" s="167" t="str">
        <f>CONCATENATE(M26,"/365 * (",Z45,N22,"*",ROUND(Z44,2),X44,") =")</f>
        <v>31/365 * (10KT*1033.4$/TON) =</v>
      </c>
      <c r="M35" s="37">
        <f>ROUND(M26/365*(M34),10)</f>
        <v>-0.87768219179999996</v>
      </c>
      <c r="N35" s="4" t="str">
        <f>CONCATENATE(LOOKUP(1,J28:J30,M28:M30)," pa")</f>
        <v>M$ pa</v>
      </c>
      <c r="O35" s="52"/>
      <c r="P35" s="52"/>
      <c r="Q35" s="52"/>
      <c r="R35" s="52"/>
      <c r="S35" s="52"/>
      <c r="T35" s="52"/>
      <c r="U35" s="68"/>
      <c r="V35" s="28"/>
      <c r="W35" s="52"/>
      <c r="X35" s="307"/>
      <c r="Y35" s="307"/>
      <c r="Z35" s="307"/>
      <c r="AA35" s="36" t="s">
        <v>80</v>
      </c>
      <c r="AB35" s="78">
        <f>AK35+AY35</f>
        <v>910.1818181818187</v>
      </c>
      <c r="AC35" s="164" t="str">
        <f>N27</f>
        <v>$/TON</v>
      </c>
      <c r="AD35" s="52"/>
      <c r="AE35" s="52"/>
      <c r="AF35" s="52"/>
      <c r="AG35" s="52"/>
      <c r="AH35" s="52"/>
      <c r="AI35" s="52"/>
      <c r="AJ35" s="68"/>
      <c r="AK35" s="182">
        <f>IF($C$13&lt;&gt;1,(U47*(100%-ABS(AB26))*(100%-(Z42-AB42)/Z42)*100%-AJ$6*SUMPRODUCT($F$9:$F$18,$G$9:$G$18,AJ$9:AJ$18)*AK49)/(AJ$6*$G$19*AJ$19*AK49),(U47*(100%-ABS(AB26))*(100%-(Z42-AB42)/Z42)*100%-AJ$6*AB$42*SUMPRODUCT($F$9:$F$18,AJ$9:AJ$18)*AK49)/(AJ$6*AB$42*AJ$19*AK49))</f>
        <v>910.1818181818187</v>
      </c>
      <c r="AL35" s="183"/>
      <c r="AM35" s="186" t="str">
        <f>CONCATENATE("0% of VC in ",F8)</f>
        <v>0% of VC in $/TON</v>
      </c>
      <c r="AN35" s="186"/>
      <c r="AO35" s="186"/>
      <c r="AP35" s="186"/>
      <c r="AQ35" s="186"/>
      <c r="AR35" s="186"/>
      <c r="AS35" s="186"/>
      <c r="AT35" s="186"/>
      <c r="AU35" s="186"/>
      <c r="AV35" s="186"/>
      <c r="AW35" s="186"/>
      <c r="AX35" s="186"/>
      <c r="AY35" s="174">
        <f>IF(AB27&gt;=100%,AZ35-AZ35,AZ33-AZ35)</f>
        <v>0</v>
      </c>
      <c r="AZ35" s="5">
        <f>IF($C$13&lt;&gt;1,(U47*100%-AY$6*SUMPRODUCT($F$9:$F$18,$G$9:$G$18,AY$9:AY$18)*AZ49)/(AY$6*$G$19*AY$19*AZ49),(U47*100%-AY$6*AB$42*SUMPRODUCT($F$9:$F$18,AY$9:AY$18)*AZ49)/(AY$6*AB$42*AY$19*AZ49))</f>
        <v>899.11957809887917</v>
      </c>
      <c r="BA35" s="89"/>
      <c r="BB35" s="89"/>
      <c r="BC35" s="89"/>
      <c r="BD35" s="81"/>
      <c r="BE35" s="89"/>
      <c r="BF35" s="81"/>
      <c r="BG35" s="89"/>
      <c r="BH35" s="81"/>
      <c r="BI35" s="24"/>
      <c r="BJ35" s="318"/>
    </row>
    <row r="36" spans="1:62" ht="14.25" thickTop="1" x14ac:dyDescent="0.25">
      <c r="A36" s="318"/>
      <c r="B36" s="7"/>
      <c r="C36" s="7"/>
      <c r="D36" s="7"/>
      <c r="E36" s="7"/>
      <c r="F36" s="7"/>
      <c r="G36" s="7"/>
      <c r="H36" s="7"/>
      <c r="I36" s="6" t="s">
        <v>60</v>
      </c>
      <c r="J36" s="165"/>
      <c r="K36" s="165"/>
      <c r="L36" s="167" t="str">
        <f>CONCATENATE(M22,N22," * ",M27,N27," =")</f>
        <v>10KT * 50$/TON =</v>
      </c>
      <c r="M36" s="172">
        <f>ROUND((-M22)*M27/LOOKUP(1,J28:J30,L28:L30),3)</f>
        <v>-0.5</v>
      </c>
      <c r="N36" s="191" t="str">
        <f>CONCATENATE(LOOKUP(1,J28:J30,M28:M30)," pa")</f>
        <v>M$ pa</v>
      </c>
      <c r="O36" s="52"/>
      <c r="P36" s="52"/>
      <c r="Q36" s="52"/>
      <c r="R36" s="52"/>
      <c r="S36" s="52"/>
      <c r="T36" s="52"/>
      <c r="U36" s="68"/>
      <c r="V36" s="28"/>
      <c r="W36" s="52"/>
      <c r="X36" s="308" t="str">
        <f>CONCATENATE("Converter Margin Improvement (CMI) for ",E6," TARGET PRICE using Raw Material Costs (RMC)")</f>
        <v>Converter Margin Improvement (CMI) for ENABLE 3505 TARGET PRICE using Raw Material Costs (RMC)</v>
      </c>
      <c r="Y36" s="309"/>
      <c r="Z36" s="309"/>
      <c r="AA36" s="207" t="s">
        <v>81</v>
      </c>
      <c r="AB36" s="208">
        <f>IF($C13&lt;&gt;1,(SUMPRODUCT($F9:$F18,$G9:$G18,AJ9:AJ18)+$G19*AJ19*$F19)*AJ6*AK47,(SUMPRODUCT($F9:$F18,AJ9:AJ18)+AJ19*$F19)*AB42*AJ6*AK47)</f>
        <v>3.1954242596431461E-2</v>
      </c>
      <c r="AC36" s="209" t="str">
        <f>M47</f>
        <v>$ per sq m</v>
      </c>
      <c r="AD36" s="52"/>
      <c r="AE36" s="52"/>
      <c r="AF36" s="52"/>
      <c r="AG36" s="52"/>
      <c r="AH36" s="52"/>
      <c r="AI36" s="52"/>
      <c r="AJ36" s="68"/>
      <c r="AK36" s="183"/>
      <c r="AL36" s="183"/>
      <c r="AM36" s="180" t="str">
        <f>CONCATENATE("UNIT COST in ",B6," per ",LOOKUP(BA6,BC9:BC32,BG9:BG32))</f>
        <v>UNIT COST in $ per sq m</v>
      </c>
      <c r="AN36" s="180"/>
      <c r="AO36" s="180"/>
      <c r="AP36" s="180"/>
      <c r="AQ36" s="180"/>
      <c r="AR36" s="180"/>
      <c r="AS36" s="180"/>
      <c r="AT36" s="180"/>
      <c r="AU36" s="180"/>
      <c r="AV36" s="180"/>
      <c r="AW36" s="180"/>
      <c r="AX36" s="180"/>
      <c r="AY36" s="187">
        <f>IF($C13&lt;&gt;1,(SUMPRODUCT($F9:$F18,$G9:$G18,AY9:AY18)+$G19*AY19*$F19)*AY6*AZ47,(SUMPRODUCT($F9:$F18,AY9:AY18)+AY19*$F19)*AB42*AY6*AZ47)</f>
        <v>4.2605656795241947E-2</v>
      </c>
      <c r="AZ36" s="7"/>
      <c r="BA36" s="89"/>
      <c r="BB36" s="89"/>
      <c r="BC36" s="89"/>
      <c r="BD36" s="89"/>
      <c r="BE36" s="89"/>
      <c r="BF36" s="89"/>
      <c r="BG36" s="89"/>
      <c r="BH36" s="89"/>
      <c r="BI36" s="7"/>
      <c r="BJ36" s="318"/>
    </row>
    <row r="37" spans="1:62" ht="13.5" x14ac:dyDescent="0.25">
      <c r="A37" s="318"/>
      <c r="B37" s="7"/>
      <c r="C37" s="7"/>
      <c r="D37" s="7"/>
      <c r="E37" s="7"/>
      <c r="F37" s="7"/>
      <c r="G37" s="7"/>
      <c r="H37" s="7"/>
      <c r="I37" s="70" t="s">
        <v>101</v>
      </c>
      <c r="J37" s="237"/>
      <c r="K37" s="238"/>
      <c r="L37" s="238"/>
      <c r="M37" s="239"/>
      <c r="N37" s="238"/>
      <c r="O37" s="52"/>
      <c r="P37" s="52"/>
      <c r="Q37" s="52"/>
      <c r="R37" s="52"/>
      <c r="S37" s="52"/>
      <c r="T37" s="52"/>
      <c r="U37" s="68"/>
      <c r="V37" s="28"/>
      <c r="W37" s="156"/>
      <c r="X37" s="310"/>
      <c r="Y37" s="310"/>
      <c r="Z37" s="310"/>
      <c r="AA37" s="202" t="s">
        <v>82</v>
      </c>
      <c r="AB37" s="204">
        <f>AJ47-AB36</f>
        <v>7.9701204436404272E-3</v>
      </c>
      <c r="AC37" s="206" t="str">
        <f>AC36</f>
        <v>$ per sq m</v>
      </c>
      <c r="AD37" s="52"/>
      <c r="AE37" s="52"/>
      <c r="AF37" s="52"/>
      <c r="AG37" s="52"/>
      <c r="AH37" s="52"/>
      <c r="AI37" s="52"/>
      <c r="AJ37" s="68"/>
      <c r="AK37" s="125"/>
      <c r="AL37" s="125"/>
      <c r="AM37" s="180" t="str">
        <f>CONCATENATE(B6," per ",LOOKUP(BA6,BC9:BC32,BG9:BG32)," CREATED vs. ",I5)</f>
        <v>$ per sq m CREATED vs. REFERENCE</v>
      </c>
      <c r="AN37" s="180"/>
      <c r="AO37" s="180"/>
      <c r="AP37" s="180"/>
      <c r="AQ37" s="180"/>
      <c r="AR37" s="180"/>
      <c r="AS37" s="180"/>
      <c r="AT37" s="180"/>
      <c r="AU37" s="180"/>
      <c r="AV37" s="180"/>
      <c r="AW37" s="180"/>
      <c r="AX37" s="180"/>
      <c r="AY37" s="187">
        <f>AY47-AY36</f>
        <v>-2.2002773330005304E-3</v>
      </c>
      <c r="AZ37" s="7"/>
      <c r="BA37" s="7"/>
      <c r="BB37" s="7"/>
      <c r="BC37" s="7"/>
      <c r="BD37" s="7"/>
      <c r="BE37" s="7"/>
      <c r="BF37" s="7"/>
      <c r="BG37" s="7"/>
      <c r="BH37" s="7"/>
      <c r="BI37" s="7"/>
      <c r="BJ37" s="318"/>
    </row>
    <row r="38" spans="1:62" ht="13.5" x14ac:dyDescent="0.25">
      <c r="A38" s="318"/>
      <c r="B38" s="7"/>
      <c r="C38" s="7"/>
      <c r="D38" s="7"/>
      <c r="E38" s="7"/>
      <c r="F38" s="7"/>
      <c r="G38" s="7"/>
      <c r="H38" s="7"/>
      <c r="I38" s="164"/>
      <c r="J38" s="166"/>
      <c r="K38" s="166" t="s">
        <v>77</v>
      </c>
      <c r="L38" s="164"/>
      <c r="M38" s="173">
        <f>SUM(M33,M34,M35,M36)</f>
        <v>1.2883178082000004</v>
      </c>
      <c r="N38" s="192" t="str">
        <f>CONCATENATE(LOOKUP(1,J28:J30,M28:M30)," pa")</f>
        <v>M$ pa</v>
      </c>
      <c r="O38" s="52"/>
      <c r="P38" s="52"/>
      <c r="Q38" s="52"/>
      <c r="R38" s="52"/>
      <c r="S38" s="52"/>
      <c r="T38" s="52"/>
      <c r="U38" s="68"/>
      <c r="V38" s="28"/>
      <c r="W38" s="52"/>
      <c r="X38" s="310"/>
      <c r="Y38" s="310"/>
      <c r="Z38" s="310"/>
      <c r="AA38" s="202" t="s">
        <v>99</v>
      </c>
      <c r="AB38" s="205">
        <f>AB37/$AB36</f>
        <v>0.24942291839927705</v>
      </c>
      <c r="AC38" s="206"/>
      <c r="AD38" s="52"/>
      <c r="AE38" s="52"/>
      <c r="AF38" s="52"/>
      <c r="AG38" s="52"/>
      <c r="AH38" s="52"/>
      <c r="AI38" s="52"/>
      <c r="AJ38" s="68"/>
      <c r="AK38" s="125"/>
      <c r="AL38" s="125"/>
      <c r="AM38" s="180" t="str">
        <f>CONCATENATE("% POTENTIAL MARGIN IMPROVEMENT vs. ",I5)</f>
        <v>% POTENTIAL MARGIN IMPROVEMENT vs. REFERENCE</v>
      </c>
      <c r="AN38" s="180"/>
      <c r="AO38" s="180"/>
      <c r="AP38" s="180"/>
      <c r="AQ38" s="180"/>
      <c r="AR38" s="180"/>
      <c r="AS38" s="180"/>
      <c r="AT38" s="180"/>
      <c r="AU38" s="180"/>
      <c r="AV38" s="180"/>
      <c r="AW38" s="180"/>
      <c r="AX38" s="180"/>
      <c r="AY38" s="188">
        <f>AY37/$AY36</f>
        <v>-5.1642845070428531E-2</v>
      </c>
      <c r="AZ38" s="7"/>
      <c r="BA38" s="7"/>
      <c r="BB38" s="7"/>
      <c r="BC38" s="7"/>
      <c r="BD38" s="7"/>
      <c r="BE38" s="7"/>
      <c r="BF38" s="7"/>
      <c r="BG38" s="7"/>
      <c r="BH38" s="7"/>
      <c r="BI38" s="7"/>
      <c r="BJ38" s="318"/>
    </row>
    <row r="39" spans="1:62" ht="3" customHeight="1" thickBot="1" x14ac:dyDescent="0.3">
      <c r="A39" s="318"/>
      <c r="B39" s="7"/>
      <c r="C39" s="7"/>
      <c r="D39" s="7"/>
      <c r="E39" s="7"/>
      <c r="F39" s="7"/>
      <c r="G39" s="7"/>
      <c r="H39" s="7"/>
      <c r="I39" s="176"/>
      <c r="J39" s="175"/>
      <c r="K39" s="175"/>
      <c r="L39" s="176"/>
      <c r="M39" s="177"/>
      <c r="N39" s="177"/>
      <c r="O39" s="52"/>
      <c r="P39" s="52"/>
      <c r="Q39" s="52"/>
      <c r="R39" s="52"/>
      <c r="S39" s="52"/>
      <c r="T39" s="52"/>
      <c r="U39" s="68"/>
      <c r="V39" s="28"/>
      <c r="W39" s="52"/>
      <c r="X39" s="178"/>
      <c r="Y39" s="178"/>
      <c r="Z39" s="178"/>
      <c r="AA39" s="178"/>
      <c r="AB39" s="185"/>
      <c r="AC39" s="185"/>
      <c r="AD39" s="52"/>
      <c r="AE39" s="52"/>
      <c r="AF39" s="52"/>
      <c r="AG39" s="52"/>
      <c r="AH39" s="52"/>
      <c r="AI39" s="52"/>
      <c r="AJ39" s="68"/>
      <c r="AK39" s="7"/>
      <c r="AL39" s="7"/>
      <c r="AM39" s="15"/>
      <c r="AN39" s="15"/>
      <c r="AO39" s="15"/>
      <c r="AP39" s="15"/>
      <c r="AQ39" s="15"/>
      <c r="AR39" s="15"/>
      <c r="AS39" s="15"/>
      <c r="AT39" s="15"/>
      <c r="AU39" s="15"/>
      <c r="AV39" s="15"/>
      <c r="AW39" s="15"/>
      <c r="AX39" s="15"/>
      <c r="AY39" s="24"/>
      <c r="AZ39" s="7"/>
      <c r="BA39" s="7"/>
      <c r="BB39" s="7"/>
      <c r="BC39" s="7"/>
      <c r="BD39" s="7"/>
      <c r="BE39" s="7"/>
      <c r="BF39" s="7"/>
      <c r="BG39" s="7"/>
      <c r="BH39" s="7"/>
      <c r="BI39" s="7"/>
      <c r="BJ39" s="318"/>
    </row>
    <row r="40" spans="1:62" ht="14.25" thickTop="1" x14ac:dyDescent="0.25">
      <c r="A40" s="318"/>
      <c r="B40" s="7"/>
      <c r="C40" s="7"/>
      <c r="D40" s="7"/>
      <c r="E40" s="7"/>
      <c r="F40" s="7"/>
      <c r="G40" s="7"/>
      <c r="H40" s="7"/>
      <c r="I40" s="98" t="str">
        <f>CONCATENATE("DOWNSTREAM PLAYERS PURCHASING COSTS for ",I5)</f>
        <v>DOWNSTREAM PLAYERS PURCHASING COSTS for REFERENCE</v>
      </c>
      <c r="J40" s="70"/>
      <c r="K40" s="70"/>
      <c r="L40" s="70"/>
      <c r="M40" s="70"/>
      <c r="N40" s="70"/>
      <c r="O40" s="52"/>
      <c r="P40" s="52"/>
      <c r="Q40" s="52"/>
      <c r="R40" s="52"/>
      <c r="S40" s="52"/>
      <c r="T40" s="52"/>
      <c r="U40" s="68"/>
      <c r="V40" s="28"/>
      <c r="W40" s="52"/>
      <c r="X40" s="218" t="s">
        <v>55</v>
      </c>
      <c r="Y40" s="218"/>
      <c r="Z40" s="230" t="str">
        <f>I5</f>
        <v>REFERENCE</v>
      </c>
      <c r="AA40" s="231"/>
      <c r="AB40" s="218" t="str">
        <f>X5</f>
        <v>ALTERNATIVE</v>
      </c>
      <c r="AC40" s="218"/>
      <c r="AD40" s="52"/>
      <c r="AE40" s="52"/>
      <c r="AF40" s="52"/>
      <c r="AG40" s="52"/>
      <c r="AH40" s="52"/>
      <c r="AI40" s="52"/>
      <c r="AJ40" s="68"/>
      <c r="AK40" s="7"/>
      <c r="AL40" s="7"/>
      <c r="AM40" s="15"/>
      <c r="AN40" s="15"/>
      <c r="AO40" s="15"/>
      <c r="AP40" s="15"/>
      <c r="AQ40" s="15"/>
      <c r="AR40" s="15"/>
      <c r="AS40" s="15"/>
      <c r="AT40" s="15"/>
      <c r="AU40" s="15"/>
      <c r="AV40" s="15"/>
      <c r="AW40" s="15"/>
      <c r="AX40" s="15"/>
      <c r="AY40" s="24"/>
      <c r="AZ40" s="7"/>
      <c r="BA40" s="7"/>
      <c r="BB40" s="7"/>
      <c r="BC40" s="7"/>
      <c r="BD40" s="7"/>
      <c r="BE40" s="7"/>
      <c r="BF40" s="7"/>
      <c r="BG40" s="7"/>
      <c r="BH40" s="7"/>
      <c r="BI40" s="7"/>
      <c r="BJ40" s="318"/>
    </row>
    <row r="41" spans="1:62" ht="13.5" x14ac:dyDescent="0.25">
      <c r="A41" s="318"/>
      <c r="B41" s="7"/>
      <c r="C41" s="7"/>
      <c r="D41" s="7"/>
      <c r="E41" s="7"/>
      <c r="F41" s="7"/>
      <c r="G41" s="7"/>
      <c r="H41" s="7"/>
      <c r="I41" s="6" t="s">
        <v>76</v>
      </c>
      <c r="J41" s="5"/>
      <c r="K41" s="5"/>
      <c r="L41" s="167" t="str">
        <f>CONCATENATE(Z45,N22," * ",ROUND(J60,2),X44," =")</f>
        <v>10KT * 1300$/TON =</v>
      </c>
      <c r="M41" s="37">
        <f>ROUND((M22*J60)/LOOKUP(1,J28:J30,L28:L30),3)</f>
        <v>13</v>
      </c>
      <c r="N41" s="4" t="str">
        <f>CONCATENATE(LOOKUP(1,J28:J30,M28:M30)," pa")</f>
        <v>M$ pa</v>
      </c>
      <c r="O41" s="52"/>
      <c r="P41" s="52"/>
      <c r="Q41" s="52"/>
      <c r="R41" s="52"/>
      <c r="S41" s="52"/>
      <c r="T41" s="52"/>
      <c r="U41" s="68"/>
      <c r="V41" s="28"/>
      <c r="W41" s="52"/>
      <c r="X41" s="210" t="str">
        <f>CONCATENATE(B6," per 1000 ",LOOKUP(BA6,BC9:BC32,BG9:BG32))</f>
        <v>$ per 1000 sq m</v>
      </c>
      <c r="Y41" s="201"/>
      <c r="Z41" s="232">
        <f>U47*1000</f>
        <v>38.481313773563258</v>
      </c>
      <c r="AA41" s="233"/>
      <c r="AB41" s="216">
        <f>AB36*1000</f>
        <v>31.95424259643146</v>
      </c>
      <c r="AC41" s="210"/>
      <c r="AD41" s="52"/>
      <c r="AE41" s="52"/>
      <c r="AF41" s="52"/>
      <c r="AG41" s="52"/>
      <c r="AH41" s="52"/>
      <c r="AI41" s="52"/>
      <c r="AJ41" s="68"/>
      <c r="AK41" s="7"/>
      <c r="AL41" s="7"/>
      <c r="AM41" s="15"/>
      <c r="AN41" s="15"/>
      <c r="AO41" s="15"/>
      <c r="AP41" s="15"/>
      <c r="AQ41" s="15"/>
      <c r="AR41" s="15"/>
      <c r="AS41" s="15"/>
      <c r="AT41" s="15"/>
      <c r="AU41" s="15"/>
      <c r="AV41" s="15"/>
      <c r="AW41" s="15"/>
      <c r="AX41" s="15"/>
      <c r="AY41" s="24"/>
      <c r="AZ41" s="7"/>
      <c r="BA41" s="7"/>
      <c r="BB41" s="7"/>
      <c r="BC41" s="7"/>
      <c r="BD41" s="7"/>
      <c r="BE41" s="7"/>
      <c r="BF41" s="7"/>
      <c r="BG41" s="7"/>
      <c r="BH41" s="7"/>
      <c r="BI41" s="7"/>
      <c r="BJ41" s="318"/>
    </row>
    <row r="42" spans="1:62" ht="13.5" x14ac:dyDescent="0.25">
      <c r="A42" s="318"/>
      <c r="B42" s="7"/>
      <c r="C42" s="7"/>
      <c r="D42" s="7"/>
      <c r="E42" s="7"/>
      <c r="F42" s="7"/>
      <c r="G42" s="7"/>
      <c r="H42" s="7"/>
      <c r="I42" s="6" t="s">
        <v>56</v>
      </c>
      <c r="J42" s="5"/>
      <c r="K42" s="5"/>
      <c r="L42" s="167" t="str">
        <f>CONCATENATE(M26,"/365 * (",Z45,N22,"*",ROUND(M24,2),X44,") =")</f>
        <v>31/365 * (10KT*1300$/TON) =</v>
      </c>
      <c r="M42" s="37">
        <f>ROUND(M26/365*(M41),10)</f>
        <v>1.1041095889999999</v>
      </c>
      <c r="N42" s="4" t="str">
        <f>CONCATENATE(LOOKUP(1,J28:J30,M28:M30)," pa")</f>
        <v>M$ pa</v>
      </c>
      <c r="O42" s="52"/>
      <c r="P42" s="52"/>
      <c r="Q42" s="52"/>
      <c r="R42" s="52"/>
      <c r="S42" s="52"/>
      <c r="T42" s="52"/>
      <c r="U42" s="68"/>
      <c r="V42" s="28"/>
      <c r="W42" s="52"/>
      <c r="X42" s="210" t="s">
        <v>64</v>
      </c>
      <c r="Y42" s="201"/>
      <c r="Z42" s="234">
        <f>IF($C$13&lt;&gt;1,SUM(V9:V19),1/SUM(V9:V19))</f>
        <v>0.93093946616903578</v>
      </c>
      <c r="AA42" s="233"/>
      <c r="AB42" s="217">
        <f>IF($C$13&lt;&gt;1,SUM(AK9:AK19),1/SUM(AK9:AK19))</f>
        <v>0.93460785599390062</v>
      </c>
      <c r="AC42" s="210"/>
      <c r="AD42" s="52"/>
      <c r="AE42" s="52"/>
      <c r="AF42" s="52"/>
      <c r="AG42" s="52"/>
      <c r="AH42" s="52"/>
      <c r="AI42" s="52"/>
      <c r="AJ42" s="68"/>
      <c r="AK42" s="7"/>
      <c r="AL42" s="7"/>
      <c r="AM42" s="15"/>
      <c r="AN42" s="15"/>
      <c r="AO42" s="15"/>
      <c r="AP42" s="15"/>
      <c r="AQ42" s="15"/>
      <c r="AR42" s="15"/>
      <c r="AS42" s="15"/>
      <c r="AT42" s="15"/>
      <c r="AU42" s="15"/>
      <c r="AV42" s="15"/>
      <c r="AW42" s="15"/>
      <c r="AX42" s="15"/>
      <c r="AY42" s="24"/>
      <c r="AZ42" s="7"/>
      <c r="BA42" s="7"/>
      <c r="BB42" s="7"/>
      <c r="BC42" s="7"/>
      <c r="BD42" s="7"/>
      <c r="BE42" s="7"/>
      <c r="BF42" s="7"/>
      <c r="BG42" s="7"/>
      <c r="BH42" s="7"/>
      <c r="BI42" s="7"/>
      <c r="BJ42" s="318"/>
    </row>
    <row r="43" spans="1:62" ht="13.5" x14ac:dyDescent="0.25">
      <c r="A43" s="318"/>
      <c r="B43" s="7"/>
      <c r="C43" s="7"/>
      <c r="D43" s="7"/>
      <c r="E43" s="7"/>
      <c r="F43" s="7"/>
      <c r="G43" s="7"/>
      <c r="H43" s="7"/>
      <c r="I43" s="164"/>
      <c r="J43" s="5"/>
      <c r="K43" s="4" t="s">
        <v>77</v>
      </c>
      <c r="L43" s="167"/>
      <c r="M43" s="37">
        <f>SUM(M41:M42)</f>
        <v>14.104109589</v>
      </c>
      <c r="N43" s="4" t="str">
        <f>CONCATENATE(LOOKUP(1,J28:J30,M28:M30)," pa")</f>
        <v>M$ pa</v>
      </c>
      <c r="O43" s="52"/>
      <c r="P43" s="52"/>
      <c r="Q43" s="52"/>
      <c r="R43" s="52"/>
      <c r="S43" s="52"/>
      <c r="T43" s="52"/>
      <c r="U43" s="68"/>
      <c r="V43" s="28"/>
      <c r="W43" s="52"/>
      <c r="X43" s="210" t="str">
        <f>LOOKUP(BA6,BC9:BC32,BF9:BF32)</f>
        <v>KG / 1000 sq m</v>
      </c>
      <c r="Y43" s="201"/>
      <c r="Z43" s="232">
        <f>IF($BF5&lt;&gt;1,Z42*U6*LOOKUP($BA6,$BC9:$BC32,$BE9:$BE32),Z42*LOOKUP($BA6,$BC9:$BC32,$BE9:$BE32))*1000</f>
        <v>37.237578646761435</v>
      </c>
      <c r="AA43" s="233"/>
      <c r="AB43" s="216">
        <f>IF($BF5&lt;&gt;1,AB42*AJ6*LOOKUP($BA6,$BC9:$BC32,$BE9:$BE32),AB42*LOOKUP($BA6,$BC9:$BC32,$BE9:$BE32))*1000</f>
        <v>28.038235679817017</v>
      </c>
      <c r="AC43" s="210"/>
      <c r="AD43" s="52"/>
      <c r="AE43" s="52"/>
      <c r="AF43" s="52"/>
      <c r="AG43" s="52"/>
      <c r="AH43" s="52"/>
      <c r="AI43" s="52"/>
      <c r="AJ43" s="68"/>
      <c r="AK43" s="7"/>
      <c r="AL43" s="7"/>
      <c r="AM43" s="15"/>
      <c r="AN43" s="15"/>
      <c r="AO43" s="15"/>
      <c r="AP43" s="15"/>
      <c r="AQ43" s="15"/>
      <c r="AR43" s="15"/>
      <c r="AS43" s="15"/>
      <c r="AT43" s="15"/>
      <c r="AU43" s="15"/>
      <c r="AV43" s="15"/>
      <c r="AW43" s="15"/>
      <c r="AX43" s="15"/>
      <c r="AY43" s="24"/>
      <c r="AZ43" s="7"/>
      <c r="BA43" s="7"/>
      <c r="BB43" s="7"/>
      <c r="BC43" s="7"/>
      <c r="BD43" s="7"/>
      <c r="BE43" s="7"/>
      <c r="BF43" s="7"/>
      <c r="BG43" s="7"/>
      <c r="BH43" s="7"/>
      <c r="BI43" s="7"/>
      <c r="BJ43" s="318"/>
    </row>
    <row r="44" spans="1:62" ht="13.5" x14ac:dyDescent="0.25">
      <c r="A44" s="318"/>
      <c r="B44" s="7"/>
      <c r="C44" s="7"/>
      <c r="D44" s="7"/>
      <c r="E44" s="7"/>
      <c r="F44" s="7"/>
      <c r="G44" s="7"/>
      <c r="H44" s="7"/>
      <c r="I44" s="7"/>
      <c r="J44" s="7"/>
      <c r="K44" s="7"/>
      <c r="L44" s="7"/>
      <c r="M44" s="7"/>
      <c r="N44" s="7"/>
      <c r="O44" s="7"/>
      <c r="P44" s="7"/>
      <c r="Q44" s="7"/>
      <c r="R44" s="7"/>
      <c r="S44" s="7"/>
      <c r="T44" s="7"/>
      <c r="U44" s="7"/>
      <c r="V44" s="28"/>
      <c r="W44" s="52"/>
      <c r="X44" s="210" t="str">
        <f>F8</f>
        <v>$/TON</v>
      </c>
      <c r="Y44" s="201"/>
      <c r="Z44" s="232">
        <f>ROUND(Z41/Z43*LOOKUP(1,J28:L30,L28:L30),2)</f>
        <v>1033.4000000000001</v>
      </c>
      <c r="AA44" s="233"/>
      <c r="AB44" s="216">
        <f>ROUND(AB41/AB43*LOOKUP(1,J28:L30,L28:L30),2)</f>
        <v>1139.67</v>
      </c>
      <c r="AC44" s="210"/>
      <c r="AD44" s="52"/>
      <c r="AE44" s="52"/>
      <c r="AF44" s="52"/>
      <c r="AG44" s="52"/>
      <c r="AH44" s="52"/>
      <c r="AI44" s="52"/>
      <c r="AJ44" s="68"/>
      <c r="AK44" s="7"/>
      <c r="AL44" s="7"/>
      <c r="AM44" s="15"/>
      <c r="AN44" s="15"/>
      <c r="AO44" s="15"/>
      <c r="AP44" s="15"/>
      <c r="AQ44" s="15"/>
      <c r="AR44" s="15"/>
      <c r="AS44" s="15"/>
      <c r="AT44" s="15"/>
      <c r="AU44" s="15"/>
      <c r="AV44" s="15"/>
      <c r="AW44" s="15"/>
      <c r="AX44" s="15"/>
      <c r="AY44" s="24"/>
      <c r="AZ44" s="7"/>
      <c r="BA44" s="7"/>
      <c r="BB44" s="7"/>
      <c r="BC44" s="7"/>
      <c r="BD44" s="7"/>
      <c r="BE44" s="7"/>
      <c r="BF44" s="7"/>
      <c r="BG44" s="7"/>
      <c r="BH44" s="7"/>
      <c r="BI44" s="7"/>
      <c r="BJ44" s="318"/>
    </row>
    <row r="45" spans="1:62" ht="13.5" hidden="1" x14ac:dyDescent="0.25">
      <c r="A45" s="318"/>
      <c r="B45" s="7"/>
      <c r="C45" s="7"/>
      <c r="D45" s="7"/>
      <c r="E45" s="7"/>
      <c r="F45" s="7"/>
      <c r="G45" s="7"/>
      <c r="H45" s="28"/>
      <c r="I45" s="126"/>
      <c r="J45" s="28"/>
      <c r="K45" s="28"/>
      <c r="L45" s="28"/>
      <c r="M45" s="170"/>
      <c r="N45" s="170"/>
      <c r="O45" s="170"/>
      <c r="P45" s="170"/>
      <c r="Q45" s="170"/>
      <c r="R45" s="170"/>
      <c r="S45" s="170"/>
      <c r="T45" s="28"/>
      <c r="U45" s="28"/>
      <c r="V45" s="28"/>
      <c r="W45" s="7"/>
      <c r="X45" s="7"/>
      <c r="Y45" s="7"/>
      <c r="Z45" s="212">
        <f>M22</f>
        <v>10</v>
      </c>
      <c r="AA45" s="211"/>
      <c r="AB45" s="211"/>
      <c r="AC45" s="211"/>
      <c r="AD45" s="211"/>
      <c r="AE45" s="211"/>
      <c r="AF45" s="211"/>
      <c r="AG45" s="211"/>
      <c r="AH45" s="211"/>
      <c r="AI45" s="211"/>
      <c r="AJ45" s="212">
        <f>M22*(1-AB26)*(AB42/Z42)</f>
        <v>7.5295539341561133</v>
      </c>
      <c r="AK45" s="7"/>
      <c r="AL45" s="7"/>
      <c r="AM45" s="7"/>
      <c r="AN45" s="7"/>
      <c r="AO45" s="125"/>
      <c r="AP45" s="125"/>
      <c r="AQ45" s="125"/>
      <c r="AR45" s="125"/>
      <c r="AS45" s="125"/>
      <c r="AT45" s="125"/>
      <c r="AU45" s="125"/>
      <c r="AV45" s="125"/>
      <c r="AW45" s="125"/>
      <c r="AX45" s="125"/>
      <c r="AY45" s="125"/>
      <c r="AZ45" s="28"/>
      <c r="BA45" s="24"/>
      <c r="BB45" s="24"/>
      <c r="BC45" s="95"/>
      <c r="BD45" s="81"/>
      <c r="BE45" s="24"/>
      <c r="BF45" s="24"/>
      <c r="BG45" s="95"/>
      <c r="BH45" s="81"/>
      <c r="BI45" s="24"/>
      <c r="BJ45" s="318"/>
    </row>
    <row r="46" spans="1:62" ht="13.5" hidden="1" x14ac:dyDescent="0.25">
      <c r="A46" s="318"/>
      <c r="B46" s="7"/>
      <c r="C46" s="7"/>
      <c r="D46" s="7"/>
      <c r="E46" s="300"/>
      <c r="F46" s="300"/>
      <c r="G46" s="7"/>
      <c r="H46" s="96"/>
      <c r="I46" s="126"/>
      <c r="J46" s="15"/>
      <c r="K46" s="15"/>
      <c r="L46" s="15"/>
      <c r="M46" s="70" t="str">
        <f>CONCATENATE(I5," UNIT COST")</f>
        <v>REFERENCE UNIT COST</v>
      </c>
      <c r="N46" s="70"/>
      <c r="O46" s="70"/>
      <c r="P46" s="70"/>
      <c r="Q46" s="70"/>
      <c r="R46" s="70"/>
      <c r="S46" s="70"/>
      <c r="T46" s="169"/>
      <c r="U46" s="91"/>
      <c r="V46" s="300"/>
      <c r="W46" s="97"/>
      <c r="X46" s="70" t="str">
        <f>CONCATENATE(X5," UNIT COST")</f>
        <v>ALTERNATIVE UNIT COST</v>
      </c>
      <c r="Y46" s="70"/>
      <c r="Z46" s="70"/>
      <c r="AA46" s="70"/>
      <c r="AB46" s="70"/>
      <c r="AC46" s="70"/>
      <c r="AD46" s="70"/>
      <c r="AE46" s="70"/>
      <c r="AF46" s="70"/>
      <c r="AG46" s="70"/>
      <c r="AH46" s="70"/>
      <c r="AI46" s="69"/>
      <c r="AJ46" s="91"/>
      <c r="AK46" s="300"/>
      <c r="AL46" s="300"/>
      <c r="AM46" s="69" t="str">
        <f>X46</f>
        <v>ALTERNATIVE UNIT COST</v>
      </c>
      <c r="AN46" s="69"/>
      <c r="AO46" s="180"/>
      <c r="AP46" s="180"/>
      <c r="AQ46" s="180"/>
      <c r="AR46" s="180"/>
      <c r="AS46" s="180"/>
      <c r="AT46" s="180"/>
      <c r="AU46" s="180"/>
      <c r="AV46" s="180"/>
      <c r="AW46" s="180"/>
      <c r="AX46" s="180"/>
      <c r="AY46" s="181"/>
      <c r="AZ46" s="7"/>
      <c r="BA46" s="24"/>
      <c r="BB46" s="24"/>
      <c r="BC46" s="24"/>
      <c r="BD46" s="24"/>
      <c r="BE46" s="24"/>
      <c r="BF46" s="24"/>
      <c r="BG46" s="24"/>
      <c r="BH46" s="24"/>
      <c r="BI46" s="24"/>
      <c r="BJ46" s="318"/>
    </row>
    <row r="47" spans="1:62" ht="13.5" hidden="1" x14ac:dyDescent="0.25">
      <c r="A47" s="318"/>
      <c r="B47" s="7"/>
      <c r="C47" s="7"/>
      <c r="D47" s="7"/>
      <c r="E47" s="300"/>
      <c r="F47" s="300"/>
      <c r="G47" s="7"/>
      <c r="H47" s="7"/>
      <c r="I47" s="126"/>
      <c r="J47" s="101"/>
      <c r="K47" s="101"/>
      <c r="L47" s="101"/>
      <c r="M47" s="18" t="str">
        <f>CONCATENATE(B6," per ",LOOKUP(BA6,BC9:BC32,BG9:BG32))</f>
        <v>$ per sq m</v>
      </c>
      <c r="N47" s="18"/>
      <c r="O47" s="18"/>
      <c r="P47" s="18"/>
      <c r="Q47" s="18"/>
      <c r="R47" s="18"/>
      <c r="S47" s="18"/>
      <c r="T47" s="169"/>
      <c r="U47" s="193">
        <f>IF($C$13&lt;&gt;1,SUMPRODUCT(F9:F18,G9:G18,U9:U18)*U6*V47,SUMPRODUCT(F9:F18,U9:U18)*U6*Z42*V47)</f>
        <v>3.8481313773563258E-2</v>
      </c>
      <c r="V47" s="246">
        <f>LOOKUP(BA6,BC9:BC32,BI9:BI32)</f>
        <v>9.9999999999999995E-7</v>
      </c>
      <c r="W47" s="99"/>
      <c r="X47" s="91" t="str">
        <f>CONCATENATE(B6," per ",LOOKUP(BA6,BC9:BC32,BG9:BG32)," at 100% of VC")</f>
        <v>$ per sq m at 100% of VC</v>
      </c>
      <c r="Y47" s="91"/>
      <c r="Z47" s="91"/>
      <c r="AA47" s="91"/>
      <c r="AB47" s="91"/>
      <c r="AC47" s="91"/>
      <c r="AD47" s="91"/>
      <c r="AE47" s="91"/>
      <c r="AF47" s="91"/>
      <c r="AG47" s="91"/>
      <c r="AH47" s="91"/>
      <c r="AI47" s="92"/>
      <c r="AJ47" s="37">
        <f>IF($C$13&lt;&gt;1,(SUMPRODUCT($F$9:$F$18,$G$9:$G$18,AJ$9:AJ$18)+$G$19*AJ$19*AB33)*AJ$6*AK47,(SUMPRODUCT($F$9:$F$18,AJ$9:AJ$18)+AJ$19*AB33)*AJ$6*AB$42*AK47)</f>
        <v>3.9924363040071888E-2</v>
      </c>
      <c r="AK47" s="246">
        <f>LOOKUP(BA6,BC9:BC32,BI9:BI32)</f>
        <v>9.9999999999999995E-7</v>
      </c>
      <c r="AL47" s="20"/>
      <c r="AM47" s="92" t="str">
        <f>CONCATENATE(B6," per ",LOOKUP(BA6,BC9:BC32,BG9:BG32)," at 100% of VC")</f>
        <v>$ per sq m at 100% of VC</v>
      </c>
      <c r="AN47" s="92"/>
      <c r="AO47" s="184"/>
      <c r="AP47" s="184"/>
      <c r="AQ47" s="184"/>
      <c r="AR47" s="184"/>
      <c r="AS47" s="184"/>
      <c r="AT47" s="184"/>
      <c r="AU47" s="184"/>
      <c r="AV47" s="184"/>
      <c r="AW47" s="184"/>
      <c r="AX47" s="184"/>
      <c r="AY47" s="187">
        <f>IF($C$13&lt;&gt;1,(SUMPRODUCT($F$9:$F$18,$G$9:$G$18,AY$9:AY$18)+$G$19*AY$19*AZ33)*AY$6*AZ47,(SUMPRODUCT($F$9:$F$18,AY$9:AY$18)+AY$19*AZ33)*AY$6*AB$42*AZ47)</f>
        <v>4.0405379462241417E-2</v>
      </c>
      <c r="AZ47" s="6">
        <f>LOOKUP(BA6,BC9:BC32,BI9:BI32)</f>
        <v>9.9999999999999995E-7</v>
      </c>
      <c r="BA47" s="24"/>
      <c r="BB47" s="100"/>
      <c r="BC47" s="24"/>
      <c r="BD47" s="81"/>
      <c r="BE47" s="24"/>
      <c r="BF47" s="24"/>
      <c r="BG47" s="24"/>
      <c r="BH47" s="24"/>
      <c r="BI47" s="24"/>
      <c r="BJ47" s="318"/>
    </row>
    <row r="48" spans="1:62" ht="13.5" hidden="1" x14ac:dyDescent="0.25">
      <c r="A48" s="318"/>
      <c r="B48" s="7"/>
      <c r="C48" s="7"/>
      <c r="D48" s="7"/>
      <c r="E48" s="300"/>
      <c r="F48" s="300"/>
      <c r="G48" s="7"/>
      <c r="H48" s="7"/>
      <c r="I48" s="126"/>
      <c r="J48" s="101"/>
      <c r="K48" s="101"/>
      <c r="L48" s="101"/>
      <c r="M48" s="171"/>
      <c r="N48" s="171"/>
      <c r="O48" s="171"/>
      <c r="P48" s="171"/>
      <c r="Q48" s="171"/>
      <c r="R48" s="171"/>
      <c r="S48" s="171"/>
      <c r="T48" s="101"/>
      <c r="U48" s="102"/>
      <c r="V48" s="20"/>
      <c r="W48" s="99"/>
      <c r="X48" s="91" t="str">
        <f>CONCATENATE(B6," per ",LOOKUP(BA6,BC9:BC32,BG9:BG32)," at 50% of VC")</f>
        <v>$ per sq m at 50% of VC</v>
      </c>
      <c r="Y48" s="91"/>
      <c r="Z48" s="91"/>
      <c r="AA48" s="91"/>
      <c r="AB48" s="91"/>
      <c r="AC48" s="91"/>
      <c r="AD48" s="91"/>
      <c r="AE48" s="91"/>
      <c r="AF48" s="91"/>
      <c r="AG48" s="91"/>
      <c r="AH48" s="91"/>
      <c r="AI48" s="92"/>
      <c r="AJ48" s="37">
        <f>IF($C$13&lt;&gt;1,(SUMPRODUCT($F$9:$F$18,$G$9:$G$18,AJ$9:AJ$18)+$G$19*AJ$19*AB34)*AJ$6*AK48,(SUMPRODUCT($F$9:$F$18,AJ$9:AJ$18)+AJ$19*AB34)*AJ$6*AB$42*AK48)</f>
        <v>3.4459015180909928E-2</v>
      </c>
      <c r="AK48" s="246">
        <f>LOOKUP(BA6,BC9:BC32,BI9:BI32)</f>
        <v>9.9999999999999995E-7</v>
      </c>
      <c r="AL48" s="20"/>
      <c r="AM48" s="92" t="str">
        <f>CONCATENATE(B6," per ",LOOKUP(BA6,BC9:BC32,BG9:BG32)," at 50% of VC")</f>
        <v>$ per sq m at 50% of VC</v>
      </c>
      <c r="AN48" s="92"/>
      <c r="AO48" s="184"/>
      <c r="AP48" s="184"/>
      <c r="AQ48" s="184"/>
      <c r="AR48" s="184"/>
      <c r="AS48" s="184"/>
      <c r="AT48" s="184"/>
      <c r="AU48" s="184"/>
      <c r="AV48" s="184"/>
      <c r="AW48" s="184"/>
      <c r="AX48" s="184"/>
      <c r="AY48" s="187">
        <f>IF($C$13&lt;&gt;1,(SUMPRODUCT($F$9:$F$18,$G$9:$G$18,AY$9:AY$18)+$G$19*AY$19*AZ34)*AY$6*AZ48,(SUMPRODUCT($F$9:$F$18,AY$9:AY$18)+AY$19*AZ34)*AY$6*AB$42*AZ48)</f>
        <v>3.9443346617902345E-2</v>
      </c>
      <c r="AZ48" s="6">
        <f>LOOKUP(BA6,BC9:BC32,BI9:BI32)</f>
        <v>9.9999999999999995E-7</v>
      </c>
      <c r="BA48" s="24"/>
      <c r="BB48" s="100"/>
      <c r="BC48" s="24"/>
      <c r="BD48" s="81"/>
      <c r="BE48" s="24"/>
      <c r="BF48" s="24"/>
      <c r="BG48" s="24"/>
      <c r="BH48" s="24"/>
      <c r="BI48" s="24"/>
      <c r="BJ48" s="318"/>
    </row>
    <row r="49" spans="1:62" ht="13.5" hidden="1" x14ac:dyDescent="0.25">
      <c r="A49" s="318"/>
      <c r="B49" s="7"/>
      <c r="C49" s="103"/>
      <c r="D49" s="103"/>
      <c r="E49" s="300"/>
      <c r="F49" s="300"/>
      <c r="G49" s="7"/>
      <c r="H49" s="7"/>
      <c r="I49" s="126"/>
      <c r="J49" s="89"/>
      <c r="K49" s="89"/>
      <c r="L49" s="89"/>
      <c r="M49" s="39"/>
      <c r="N49" s="39"/>
      <c r="O49" s="39"/>
      <c r="P49" s="39"/>
      <c r="Q49" s="39"/>
      <c r="R49" s="39"/>
      <c r="S49" s="39"/>
      <c r="T49" s="89"/>
      <c r="U49" s="89"/>
      <c r="V49" s="89"/>
      <c r="W49" s="90"/>
      <c r="X49" s="93" t="str">
        <f>CONCATENATE(B6," per ",LOOKUP(BA6,BC9:BC32,BG9:BG32)," at 0% of VC")</f>
        <v>$ per sq m at 0% of VC</v>
      </c>
      <c r="Y49" s="93"/>
      <c r="Z49" s="93"/>
      <c r="AA49" s="93"/>
      <c r="AB49" s="93"/>
      <c r="AC49" s="93"/>
      <c r="AD49" s="93"/>
      <c r="AE49" s="93"/>
      <c r="AF49" s="93"/>
      <c r="AG49" s="93"/>
      <c r="AH49" s="93"/>
      <c r="AI49" s="94"/>
      <c r="AJ49" s="37">
        <f>IF($C$13&lt;&gt;1,(SUMPRODUCT($F$9:$F$18,$G$9:$G$18,AJ$9:AJ$18)+$G$19*AJ$19*AB35)*AJ$6*AK49,(SUMPRODUCT($F$9:$F$18,AJ$9:AJ$18)+AJ$19*AB35)*AJ$6*AB$42*AK49)</f>
        <v>2.897471275152291E-2</v>
      </c>
      <c r="AK49" s="4">
        <f>LOOKUP(BA6,BC9:BC32,BI9:BI32)</f>
        <v>9.9999999999999995E-7</v>
      </c>
      <c r="AL49" s="89"/>
      <c r="AM49" s="94" t="str">
        <f>CONCATENATE(B6," per ",LOOKUP(BA6,BC9:BC32,BG9:BG32)," at 0% of VC")</f>
        <v>$ per sq m at 0% of VC</v>
      </c>
      <c r="AN49" s="94"/>
      <c r="AO49" s="186"/>
      <c r="AP49" s="186"/>
      <c r="AQ49" s="186"/>
      <c r="AR49" s="186"/>
      <c r="AS49" s="186"/>
      <c r="AT49" s="186"/>
      <c r="AU49" s="186"/>
      <c r="AV49" s="186"/>
      <c r="AW49" s="186"/>
      <c r="AX49" s="186"/>
      <c r="AY49" s="187">
        <f>IF($C$13&lt;&gt;1,(SUMPRODUCT($F$9:$F$18,$G$9:$G$18,AY$9:AY$18)+$G$19*AY$19*AZ35)*AY$6*AZ49,(SUMPRODUCT($F$9:$F$18,AY$9:AY$18)+AY$19*AZ35)*AY$6*AB$42*AZ49)</f>
        <v>3.8481313773563258E-2</v>
      </c>
      <c r="AZ49" s="6">
        <f>LOOKUP(BA6,BC9:BC32,BI9:BI32)</f>
        <v>9.9999999999999995E-7</v>
      </c>
      <c r="BA49" s="24"/>
      <c r="BB49" s="100"/>
      <c r="BC49" s="24"/>
      <c r="BD49" s="81"/>
      <c r="BE49" s="24"/>
      <c r="BF49" s="24"/>
      <c r="BG49" s="24"/>
      <c r="BH49" s="24"/>
      <c r="BI49" s="24"/>
      <c r="BJ49" s="318"/>
    </row>
    <row r="50" spans="1:62" ht="13.5" hidden="1" x14ac:dyDescent="0.25">
      <c r="A50" s="318"/>
      <c r="B50" s="7"/>
      <c r="C50" s="103"/>
      <c r="D50" s="103"/>
      <c r="E50" s="300"/>
      <c r="F50" s="300"/>
      <c r="G50" s="7"/>
      <c r="H50" s="7"/>
      <c r="I50" s="126"/>
      <c r="J50" s="7"/>
      <c r="K50" s="7"/>
      <c r="L50" s="7"/>
      <c r="M50" s="39"/>
      <c r="N50" s="39"/>
      <c r="O50" s="39"/>
      <c r="P50" s="39"/>
      <c r="Q50" s="39"/>
      <c r="R50" s="39"/>
      <c r="S50" s="39"/>
      <c r="T50" s="7"/>
      <c r="U50" s="7"/>
      <c r="V50" s="7"/>
      <c r="W50" s="7"/>
      <c r="X50" s="7"/>
      <c r="Y50" s="7"/>
      <c r="Z50" s="7"/>
      <c r="AA50" s="7"/>
      <c r="AB50" s="7"/>
      <c r="AC50" s="7"/>
      <c r="AD50" s="7"/>
      <c r="AE50" s="7"/>
      <c r="AF50" s="7"/>
      <c r="AG50" s="7"/>
      <c r="AH50" s="7"/>
      <c r="AI50" s="7"/>
      <c r="AJ50" s="7"/>
      <c r="AK50" s="7"/>
      <c r="AL50" s="7"/>
      <c r="AM50" s="7"/>
      <c r="AN50" s="7"/>
      <c r="AO50" s="125"/>
      <c r="AP50" s="125"/>
      <c r="AQ50" s="125"/>
      <c r="AR50" s="125"/>
      <c r="AS50" s="125"/>
      <c r="AT50" s="125"/>
      <c r="AU50" s="125"/>
      <c r="AV50" s="125"/>
      <c r="AW50" s="125"/>
      <c r="AX50" s="125"/>
      <c r="AY50" s="125"/>
      <c r="AZ50" s="28"/>
      <c r="BA50" s="24"/>
      <c r="BB50" s="24"/>
      <c r="BC50" s="24"/>
      <c r="BD50" s="24"/>
      <c r="BE50" s="24"/>
      <c r="BF50" s="24"/>
      <c r="BG50" s="24"/>
      <c r="BH50" s="24"/>
      <c r="BI50" s="24"/>
      <c r="BJ50" s="318"/>
    </row>
    <row r="51" spans="1:62" ht="13.5" hidden="1" x14ac:dyDescent="0.25">
      <c r="A51" s="318"/>
      <c r="B51" s="7"/>
      <c r="C51" s="7"/>
      <c r="D51" s="7"/>
      <c r="E51" s="300"/>
      <c r="F51" s="300"/>
      <c r="G51" s="7"/>
      <c r="H51" s="7"/>
      <c r="I51" s="126"/>
      <c r="J51" s="7"/>
      <c r="K51" s="7"/>
      <c r="L51" s="7"/>
      <c r="M51" s="39"/>
      <c r="N51" s="39"/>
      <c r="O51" s="39"/>
      <c r="P51" s="39"/>
      <c r="Q51" s="39"/>
      <c r="R51" s="39"/>
      <c r="S51" s="39"/>
      <c r="T51" s="7"/>
      <c r="U51" s="7"/>
      <c r="V51" s="7"/>
      <c r="W51" s="7"/>
      <c r="X51" s="70" t="str">
        <f>CONCATENATE(B6," per ",LOOKUP(BA6,BC9:BC32,BG9:BG32)," CREATED vs. ",I5)</f>
        <v>$ per sq m CREATED vs. REFERENCE</v>
      </c>
      <c r="Y51" s="70"/>
      <c r="Z51" s="70"/>
      <c r="AA51" s="70"/>
      <c r="AB51" s="70"/>
      <c r="AC51" s="70"/>
      <c r="AD51" s="70"/>
      <c r="AE51" s="70"/>
      <c r="AF51" s="70"/>
      <c r="AG51" s="70"/>
      <c r="AH51" s="70"/>
      <c r="AI51" s="69"/>
      <c r="AJ51" s="91"/>
      <c r="AK51" s="7"/>
      <c r="AL51" s="7"/>
      <c r="AM51" s="69" t="str">
        <f>CONCATENATE(B6," per ",LOOKUP(BA6,BC9:BC32,BG9:BG32)," CREATED vs. ",I5)</f>
        <v>$ per sq m CREATED vs. REFERENCE</v>
      </c>
      <c r="AN51" s="69"/>
      <c r="AO51" s="180"/>
      <c r="AP51" s="180"/>
      <c r="AQ51" s="180"/>
      <c r="AR51" s="180"/>
      <c r="AS51" s="180"/>
      <c r="AT51" s="180"/>
      <c r="AU51" s="180"/>
      <c r="AV51" s="180"/>
      <c r="AW51" s="180"/>
      <c r="AX51" s="180"/>
      <c r="AY51" s="181"/>
      <c r="AZ51" s="28"/>
      <c r="BA51" s="24"/>
      <c r="BB51" s="24"/>
      <c r="BC51" s="24"/>
      <c r="BD51" s="24"/>
      <c r="BE51" s="24"/>
      <c r="BF51" s="24"/>
      <c r="BG51" s="24"/>
      <c r="BH51" s="24"/>
      <c r="BI51" s="24"/>
      <c r="BJ51" s="318"/>
    </row>
    <row r="52" spans="1:62" ht="13.5" hidden="1" x14ac:dyDescent="0.25">
      <c r="A52" s="318"/>
      <c r="B52" s="7"/>
      <c r="C52" s="7"/>
      <c r="D52" s="7"/>
      <c r="E52" s="300"/>
      <c r="F52" s="300"/>
      <c r="G52" s="7"/>
      <c r="H52" s="7"/>
      <c r="I52" s="126"/>
      <c r="J52" s="7"/>
      <c r="K52" s="7"/>
      <c r="L52" s="7"/>
      <c r="M52" s="39"/>
      <c r="N52" s="39"/>
      <c r="O52" s="39"/>
      <c r="P52" s="39"/>
      <c r="Q52" s="39"/>
      <c r="R52" s="39"/>
      <c r="S52" s="39"/>
      <c r="T52" s="7"/>
      <c r="U52" s="7"/>
      <c r="V52" s="7"/>
      <c r="W52" s="7"/>
      <c r="X52" s="91" t="s">
        <v>48</v>
      </c>
      <c r="Y52" s="91"/>
      <c r="Z52" s="91"/>
      <c r="AA52" s="91"/>
      <c r="AB52" s="91"/>
      <c r="AC52" s="91"/>
      <c r="AD52" s="91"/>
      <c r="AE52" s="91"/>
      <c r="AF52" s="91"/>
      <c r="AG52" s="91"/>
      <c r="AH52" s="91"/>
      <c r="AI52" s="92"/>
      <c r="AJ52" s="37">
        <f>ABS($AJ47-AJ47)</f>
        <v>0</v>
      </c>
      <c r="AK52" s="7"/>
      <c r="AL52" s="7"/>
      <c r="AM52" s="92" t="s">
        <v>48</v>
      </c>
      <c r="AN52" s="92"/>
      <c r="AO52" s="184"/>
      <c r="AP52" s="184"/>
      <c r="AQ52" s="184"/>
      <c r="AR52" s="184"/>
      <c r="AS52" s="184"/>
      <c r="AT52" s="184"/>
      <c r="AU52" s="184"/>
      <c r="AV52" s="184"/>
      <c r="AW52" s="184"/>
      <c r="AX52" s="184"/>
      <c r="AY52" s="187">
        <f>AY$47-AY47</f>
        <v>0</v>
      </c>
      <c r="AZ52" s="28"/>
      <c r="BA52" s="24"/>
      <c r="BB52" s="24"/>
      <c r="BC52" s="24"/>
      <c r="BD52" s="24"/>
      <c r="BE52" s="24"/>
      <c r="BF52" s="24"/>
      <c r="BG52" s="24"/>
      <c r="BH52" s="24"/>
      <c r="BI52" s="24"/>
      <c r="BJ52" s="318"/>
    </row>
    <row r="53" spans="1:62" ht="13.5" hidden="1" x14ac:dyDescent="0.25">
      <c r="A53" s="318"/>
      <c r="B53" s="7"/>
      <c r="C53" s="7"/>
      <c r="D53" s="7"/>
      <c r="E53" s="300"/>
      <c r="F53" s="300"/>
      <c r="G53" s="7"/>
      <c r="H53" s="7"/>
      <c r="I53" s="126"/>
      <c r="J53" s="7"/>
      <c r="K53" s="7"/>
      <c r="L53" s="7"/>
      <c r="M53" s="39"/>
      <c r="N53" s="39"/>
      <c r="O53" s="39"/>
      <c r="P53" s="39"/>
      <c r="Q53" s="39"/>
      <c r="R53" s="39"/>
      <c r="S53" s="39"/>
      <c r="T53" s="7"/>
      <c r="U53" s="7"/>
      <c r="V53" s="7"/>
      <c r="W53" s="7"/>
      <c r="X53" s="91" t="s">
        <v>49</v>
      </c>
      <c r="Y53" s="91"/>
      <c r="Z53" s="91"/>
      <c r="AA53" s="91"/>
      <c r="AB53" s="91"/>
      <c r="AC53" s="91"/>
      <c r="AD53" s="91"/>
      <c r="AE53" s="91"/>
      <c r="AF53" s="91"/>
      <c r="AG53" s="91"/>
      <c r="AH53" s="91"/>
      <c r="AI53" s="92"/>
      <c r="AJ53" s="37">
        <f>AVERAGE(AJ54,AJ52)</f>
        <v>5.4748251442744891E-3</v>
      </c>
      <c r="AK53" s="7"/>
      <c r="AL53" s="7"/>
      <c r="AM53" s="92" t="s">
        <v>49</v>
      </c>
      <c r="AN53" s="92"/>
      <c r="AO53" s="184"/>
      <c r="AP53" s="184"/>
      <c r="AQ53" s="184"/>
      <c r="AR53" s="184"/>
      <c r="AS53" s="184"/>
      <c r="AT53" s="184"/>
      <c r="AU53" s="184"/>
      <c r="AV53" s="184"/>
      <c r="AW53" s="184"/>
      <c r="AX53" s="184"/>
      <c r="AY53" s="187">
        <f>AY$47-AY48</f>
        <v>9.6203284433907243E-4</v>
      </c>
      <c r="AZ53" s="28"/>
      <c r="BA53" s="24"/>
      <c r="BB53" s="24"/>
      <c r="BC53" s="24"/>
      <c r="BD53" s="104"/>
      <c r="BE53" s="24"/>
      <c r="BF53" s="24"/>
      <c r="BG53" s="24"/>
      <c r="BH53" s="24"/>
      <c r="BI53" s="24"/>
      <c r="BJ53" s="318"/>
    </row>
    <row r="54" spans="1:62" ht="13.5" hidden="1" x14ac:dyDescent="0.25">
      <c r="A54" s="318"/>
      <c r="B54" s="7"/>
      <c r="C54" s="7"/>
      <c r="D54" s="7"/>
      <c r="E54" s="300"/>
      <c r="F54" s="300"/>
      <c r="G54" s="7"/>
      <c r="H54" s="7"/>
      <c r="I54" s="126"/>
      <c r="J54" s="7"/>
      <c r="K54" s="7"/>
      <c r="L54" s="7"/>
      <c r="M54" s="39"/>
      <c r="N54" s="39"/>
      <c r="O54" s="39"/>
      <c r="P54" s="39"/>
      <c r="Q54" s="39"/>
      <c r="R54" s="39"/>
      <c r="S54" s="39"/>
      <c r="T54" s="7"/>
      <c r="U54" s="7"/>
      <c r="V54" s="7"/>
      <c r="W54" s="7"/>
      <c r="X54" s="93" t="s">
        <v>50</v>
      </c>
      <c r="Y54" s="93"/>
      <c r="Z54" s="93"/>
      <c r="AA54" s="93"/>
      <c r="AB54" s="93"/>
      <c r="AC54" s="93"/>
      <c r="AD54" s="93"/>
      <c r="AE54" s="93"/>
      <c r="AF54" s="93"/>
      <c r="AG54" s="93"/>
      <c r="AH54" s="93"/>
      <c r="AI54" s="94"/>
      <c r="AJ54" s="37">
        <f>ABS($AJ47-AJ49)</f>
        <v>1.0949650288548978E-2</v>
      </c>
      <c r="AK54" s="7"/>
      <c r="AL54" s="7"/>
      <c r="AM54" s="94" t="s">
        <v>50</v>
      </c>
      <c r="AN54" s="94"/>
      <c r="AO54" s="186"/>
      <c r="AP54" s="186"/>
      <c r="AQ54" s="186"/>
      <c r="AR54" s="186"/>
      <c r="AS54" s="186"/>
      <c r="AT54" s="186"/>
      <c r="AU54" s="186"/>
      <c r="AV54" s="186"/>
      <c r="AW54" s="186"/>
      <c r="AX54" s="186"/>
      <c r="AY54" s="187">
        <f>AY$47-AY49</f>
        <v>1.9240656886781587E-3</v>
      </c>
      <c r="AZ54" s="28"/>
      <c r="BA54" s="24"/>
      <c r="BB54" s="24"/>
      <c r="BC54" s="24"/>
      <c r="BD54" s="24"/>
      <c r="BE54" s="24"/>
      <c r="BF54" s="24"/>
      <c r="BG54" s="24"/>
      <c r="BH54" s="24"/>
      <c r="BI54" s="24"/>
      <c r="BJ54" s="318"/>
    </row>
    <row r="55" spans="1:62" ht="3" customHeight="1" x14ac:dyDescent="0.25">
      <c r="A55" s="10"/>
      <c r="B55" s="1"/>
      <c r="C55" s="1"/>
      <c r="D55" s="105"/>
      <c r="E55" s="105"/>
      <c r="F55" s="105"/>
      <c r="G55" s="105"/>
      <c r="H55" s="11"/>
      <c r="I55" s="11"/>
      <c r="J55" s="11"/>
      <c r="K55" s="11"/>
      <c r="L55" s="11"/>
      <c r="M55" s="11"/>
      <c r="N55" s="11"/>
      <c r="O55" s="11"/>
      <c r="P55" s="11"/>
      <c r="Q55" s="11"/>
      <c r="R55" s="11"/>
      <c r="S55" s="11"/>
      <c r="T55" s="11"/>
      <c r="U55" s="11"/>
      <c r="V55" s="7"/>
      <c r="W55" s="11"/>
      <c r="X55" s="11"/>
      <c r="Y55" s="11"/>
      <c r="Z55" s="11"/>
      <c r="AA55" s="11"/>
      <c r="AB55" s="11"/>
      <c r="AC55" s="11"/>
      <c r="AD55" s="11"/>
      <c r="AE55" s="11"/>
      <c r="AF55" s="11"/>
      <c r="AG55" s="11"/>
      <c r="AH55" s="11"/>
      <c r="AI55" s="11"/>
      <c r="AJ55" s="11"/>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11"/>
    </row>
    <row r="56" spans="1:62" ht="15.75" x14ac:dyDescent="0.2">
      <c r="A56" s="241" t="s">
        <v>98</v>
      </c>
      <c r="B56" s="242"/>
      <c r="C56" s="8"/>
      <c r="D56" s="8"/>
      <c r="E56" s="8"/>
      <c r="F56" s="8"/>
      <c r="G56" s="8"/>
      <c r="H56" s="8"/>
      <c r="I56" s="8"/>
      <c r="J56" s="8"/>
      <c r="K56" s="8"/>
      <c r="L56" s="8"/>
      <c r="M56" s="8"/>
      <c r="N56" s="8"/>
      <c r="O56" s="8"/>
      <c r="P56" s="8"/>
      <c r="Q56" s="8"/>
      <c r="R56" s="8"/>
      <c r="S56" s="8"/>
      <c r="T56" s="8"/>
      <c r="U56" s="8"/>
      <c r="V56" s="8"/>
      <c r="W56" s="243"/>
      <c r="X56" s="8"/>
      <c r="Y56" s="8"/>
      <c r="Z56" s="8"/>
      <c r="AA56" s="8"/>
      <c r="AB56" s="8"/>
      <c r="AC56" s="8"/>
      <c r="AD56" s="8"/>
      <c r="AE56" s="8"/>
      <c r="AF56" s="8"/>
      <c r="AG56" s="8"/>
      <c r="AH56" s="8"/>
      <c r="AI56" s="8"/>
      <c r="AJ56" s="8"/>
      <c r="AK56" s="227"/>
      <c r="AL56" s="227"/>
      <c r="AM56" s="227"/>
      <c r="AN56" s="227"/>
      <c r="AO56" s="8"/>
      <c r="AP56" s="8"/>
      <c r="AQ56" s="8"/>
      <c r="AR56" s="8"/>
      <c r="AS56" s="8"/>
      <c r="AT56" s="8"/>
      <c r="AU56" s="8"/>
      <c r="AV56" s="8"/>
      <c r="AW56" s="8"/>
      <c r="AX56" s="8"/>
      <c r="AY56" s="8"/>
      <c r="AZ56" s="8"/>
      <c r="BA56" s="8"/>
      <c r="BB56" s="8"/>
      <c r="BC56" s="8"/>
      <c r="BD56" s="8"/>
      <c r="BE56" s="8"/>
      <c r="BF56" s="8"/>
      <c r="BG56" s="8"/>
      <c r="BH56" s="8"/>
      <c r="BI56" s="8"/>
      <c r="BJ56" s="8"/>
    </row>
    <row r="57" spans="1:62" ht="3" customHeight="1" x14ac:dyDescent="0.25">
      <c r="A57" s="106"/>
      <c r="B57" s="107"/>
      <c r="C57" s="107"/>
      <c r="D57" s="107"/>
      <c r="E57" s="107"/>
      <c r="F57" s="107"/>
      <c r="G57" s="107"/>
      <c r="H57" s="108"/>
      <c r="I57" s="107"/>
      <c r="J57" s="107"/>
      <c r="K57" s="107"/>
      <c r="L57" s="107"/>
      <c r="M57" s="107"/>
      <c r="N57" s="107"/>
      <c r="O57" s="107"/>
      <c r="P57" s="107"/>
      <c r="Q57" s="107"/>
      <c r="R57" s="107"/>
      <c r="S57" s="107"/>
      <c r="T57" s="107"/>
      <c r="U57" s="107"/>
      <c r="V57" s="7"/>
      <c r="W57" s="107"/>
      <c r="X57" s="107"/>
      <c r="Y57" s="107"/>
      <c r="Z57" s="107"/>
      <c r="AA57" s="107"/>
      <c r="AB57" s="107"/>
      <c r="AC57" s="107"/>
      <c r="AD57" s="107"/>
      <c r="AE57" s="107"/>
      <c r="AF57" s="107"/>
      <c r="AG57" s="107"/>
      <c r="AH57" s="107"/>
      <c r="AI57" s="107"/>
      <c r="AJ57" s="107"/>
      <c r="AK57" s="7"/>
      <c r="AL57" s="7"/>
      <c r="AM57" s="7"/>
      <c r="AN57" s="7"/>
      <c r="AO57" s="7"/>
      <c r="AP57" s="7"/>
      <c r="AQ57" s="7"/>
      <c r="AR57" s="7"/>
      <c r="AS57" s="7"/>
      <c r="AT57" s="7"/>
      <c r="AU57" s="7"/>
      <c r="AV57" s="7"/>
      <c r="AW57" s="7"/>
      <c r="AX57" s="7"/>
      <c r="AY57" s="7"/>
      <c r="AZ57" s="90"/>
      <c r="BA57" s="99"/>
      <c r="BB57" s="99"/>
      <c r="BC57" s="99"/>
      <c r="BD57" s="99"/>
      <c r="BE57" s="99"/>
      <c r="BF57" s="99"/>
      <c r="BG57" s="99"/>
      <c r="BH57" s="99"/>
      <c r="BI57" s="99"/>
      <c r="BJ57" s="108"/>
    </row>
    <row r="58" spans="1:62" ht="13.5" x14ac:dyDescent="0.25">
      <c r="A58" s="313" t="s">
        <v>61</v>
      </c>
      <c r="B58" s="109" t="str">
        <f>CONCATENATE("POTENTIAL ",M105," BENEFITS of ",X5,"  vs. ",I5)</f>
        <v>POTENTIAL M$ pa BENEFITS of ALTERNATIVE  vs. REFERENCE</v>
      </c>
      <c r="C58" s="111"/>
      <c r="D58" s="110"/>
      <c r="E58" s="110"/>
      <c r="F58" s="110"/>
      <c r="G58" s="110"/>
      <c r="H58" s="111"/>
      <c r="I58" s="111"/>
      <c r="J58" s="112"/>
      <c r="K58" s="113"/>
      <c r="L58" s="113"/>
      <c r="M58" s="110"/>
      <c r="N58" s="110"/>
      <c r="O58" s="110"/>
      <c r="P58" s="110"/>
      <c r="Q58" s="110"/>
      <c r="R58" s="110"/>
      <c r="S58" s="110"/>
      <c r="T58" s="110"/>
      <c r="U58" s="110"/>
      <c r="V58" s="99"/>
      <c r="W58" s="114" t="str">
        <f>CONCATENATE("POTENTIAL ",M105," BENEFITS of ",X5,"  vs. ",I5)</f>
        <v>POTENTIAL M$ pa BENEFITS of ALTERNATIVE  vs. REFERENCE</v>
      </c>
      <c r="X58" s="114"/>
      <c r="Y58" s="114"/>
      <c r="Z58" s="114"/>
      <c r="AA58" s="114"/>
      <c r="AB58" s="114"/>
      <c r="AC58" s="114"/>
      <c r="AD58" s="114"/>
      <c r="AE58" s="114"/>
      <c r="AF58" s="114"/>
      <c r="AG58" s="114"/>
      <c r="AH58" s="114"/>
      <c r="AI58" s="114"/>
      <c r="AJ58" s="114"/>
      <c r="AK58" s="115"/>
      <c r="AL58" s="7"/>
      <c r="AM58" s="115"/>
      <c r="AN58" s="115"/>
      <c r="AO58" s="115"/>
      <c r="AP58" s="115"/>
      <c r="AQ58" s="115"/>
      <c r="AR58" s="115"/>
      <c r="AS58" s="115"/>
      <c r="AT58" s="115"/>
      <c r="AU58" s="115"/>
      <c r="AV58" s="115"/>
      <c r="AW58" s="115"/>
      <c r="AX58" s="115"/>
      <c r="AY58" s="115"/>
      <c r="AZ58" s="20"/>
      <c r="BA58" s="7"/>
      <c r="BB58" s="7"/>
      <c r="BC58" s="7"/>
      <c r="BD58" s="7"/>
      <c r="BE58" s="7"/>
      <c r="BF58" s="7"/>
      <c r="BG58" s="7"/>
      <c r="BH58" s="7"/>
      <c r="BI58" s="7"/>
      <c r="BJ58" s="313" t="s">
        <v>61</v>
      </c>
    </row>
    <row r="59" spans="1:62" ht="3" customHeight="1" x14ac:dyDescent="0.25">
      <c r="A59" s="314"/>
      <c r="B59" s="107"/>
      <c r="C59" s="116"/>
      <c r="D59" s="116"/>
      <c r="E59" s="116"/>
      <c r="F59" s="116"/>
      <c r="G59" s="116"/>
      <c r="H59" s="116"/>
      <c r="I59" s="116"/>
      <c r="J59" s="116"/>
      <c r="K59" s="116"/>
      <c r="L59" s="108"/>
      <c r="M59" s="116"/>
      <c r="N59" s="116"/>
      <c r="O59" s="116"/>
      <c r="P59" s="116"/>
      <c r="Q59" s="116"/>
      <c r="R59" s="116"/>
      <c r="S59" s="116"/>
      <c r="T59" s="116"/>
      <c r="U59" s="116"/>
      <c r="V59" s="99"/>
      <c r="W59" s="108"/>
      <c r="X59" s="108"/>
      <c r="Y59" s="108"/>
      <c r="Z59" s="108"/>
      <c r="AA59" s="108"/>
      <c r="AB59" s="108"/>
      <c r="AC59" s="108"/>
      <c r="AD59" s="108"/>
      <c r="AE59" s="108"/>
      <c r="AF59" s="108"/>
      <c r="AG59" s="108"/>
      <c r="AH59" s="108"/>
      <c r="AI59" s="108"/>
      <c r="AJ59" s="108"/>
      <c r="AK59" s="99"/>
      <c r="AL59" s="7"/>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314"/>
    </row>
    <row r="60" spans="1:62" ht="13.5" x14ac:dyDescent="0.25">
      <c r="A60" s="314"/>
      <c r="B60" s="194" t="str">
        <f>CONCATENATE("CONVERTER SELLS @ CONSTANT ",F8)</f>
        <v>CONVERTER SELLS @ CONSTANT $/TON</v>
      </c>
      <c r="C60" s="117"/>
      <c r="D60" s="117"/>
      <c r="E60" s="118"/>
      <c r="F60" s="111"/>
      <c r="G60" s="111"/>
      <c r="H60" s="119"/>
      <c r="I60" s="120" t="s">
        <v>96</v>
      </c>
      <c r="J60" s="121">
        <f>ROUND(M24,2)</f>
        <v>1300</v>
      </c>
      <c r="K60" s="229" t="str">
        <f>CONCATENATE(F8," =")</f>
        <v>$/TON =</v>
      </c>
      <c r="L60" s="121">
        <f>ROUND(Z41*(M24/Z44)*(1-AB26)*(AB42/Z42),3)</f>
        <v>36.450000000000003</v>
      </c>
      <c r="M60" s="235" t="str">
        <f>X41</f>
        <v>$ per 1000 sq m</v>
      </c>
      <c r="N60" s="235"/>
      <c r="O60" s="116"/>
      <c r="P60" s="116"/>
      <c r="Q60" s="116"/>
      <c r="R60" s="116"/>
      <c r="S60" s="116"/>
      <c r="T60" s="116"/>
      <c r="U60" s="219"/>
      <c r="V60" s="220"/>
      <c r="W60" s="221"/>
      <c r="X60" s="221" t="str">
        <f>B62</f>
        <v>CONVERTER BENEFITS - ON 7.9KT BUSINESS</v>
      </c>
      <c r="Y60" s="222" t="str">
        <f>B69</f>
        <v>DOWNSTREAM PLAYERS BENEFITS - BUYING SAME sq m</v>
      </c>
      <c r="Z60" s="245"/>
      <c r="AA60" s="222"/>
      <c r="AB60" s="222"/>
      <c r="AC60" s="222"/>
      <c r="AD60" s="222"/>
      <c r="AE60" s="222"/>
      <c r="AF60" s="123"/>
      <c r="AG60" s="123"/>
      <c r="AH60" s="123"/>
      <c r="AI60" s="123"/>
      <c r="AJ60" s="123"/>
      <c r="AK60" s="7"/>
      <c r="AL60" s="7"/>
      <c r="AM60" s="7"/>
      <c r="AN60" s="7"/>
      <c r="AO60" s="124"/>
      <c r="AP60" s="124"/>
      <c r="AQ60" s="124"/>
      <c r="AR60" s="124"/>
      <c r="AS60" s="124"/>
      <c r="AT60" s="124"/>
      <c r="AU60" s="124"/>
      <c r="AV60" s="124"/>
      <c r="AW60" s="124"/>
      <c r="AX60" s="124"/>
      <c r="AY60" s="124"/>
      <c r="AZ60" s="7"/>
      <c r="BA60" s="126"/>
      <c r="BB60" s="126"/>
      <c r="BC60" s="126"/>
      <c r="BD60" s="126"/>
      <c r="BE60" s="126"/>
      <c r="BF60" s="126"/>
      <c r="BG60" s="126"/>
      <c r="BH60" s="126"/>
      <c r="BI60" s="126"/>
      <c r="BJ60" s="314"/>
    </row>
    <row r="61" spans="1:62" ht="13.5" x14ac:dyDescent="0.25">
      <c r="A61" s="314"/>
      <c r="B61" s="83"/>
      <c r="C61" s="53"/>
      <c r="D61" s="53"/>
      <c r="E61" s="53"/>
      <c r="F61" s="53"/>
      <c r="G61" s="53"/>
      <c r="H61" s="83"/>
      <c r="I61" s="53"/>
      <c r="J61" s="129"/>
      <c r="K61" s="129"/>
      <c r="L61" s="130"/>
      <c r="M61" s="53"/>
      <c r="N61" s="158"/>
      <c r="O61" s="116"/>
      <c r="P61" s="116"/>
      <c r="Q61" s="116"/>
      <c r="R61" s="116"/>
      <c r="S61" s="116"/>
      <c r="T61" s="116"/>
      <c r="U61" s="219"/>
      <c r="V61" s="220"/>
      <c r="W61" s="223" t="str">
        <f>CONCATENATE(C107,B60," (",J60," ",K60," ",L60,M60,")")</f>
        <v>CONVERTER SELLS @ CONSTANT $/TON (1300 $/TON = 36.45$ per 1000 sq m)</v>
      </c>
      <c r="X61" s="224">
        <f>L67</f>
        <v>-1.1809561644</v>
      </c>
      <c r="Y61" s="225">
        <f>L73</f>
        <v>3.9740000000000002</v>
      </c>
      <c r="Z61" s="245"/>
      <c r="AA61" s="222"/>
      <c r="AB61" s="222"/>
      <c r="AC61" s="222"/>
      <c r="AD61" s="222"/>
      <c r="AE61" s="222"/>
      <c r="AF61" s="123"/>
      <c r="AG61" s="123"/>
      <c r="AH61" s="123"/>
      <c r="AI61" s="123"/>
      <c r="AJ61" s="123"/>
      <c r="AK61" s="7"/>
      <c r="AL61" s="7"/>
      <c r="AM61" s="228"/>
      <c r="AN61" s="228"/>
      <c r="AO61" s="124"/>
      <c r="AP61" s="124"/>
      <c r="AQ61" s="124"/>
      <c r="AR61" s="124"/>
      <c r="AS61" s="124"/>
      <c r="AT61" s="124"/>
      <c r="AU61" s="124"/>
      <c r="AV61" s="124"/>
      <c r="AW61" s="124"/>
      <c r="AX61" s="124"/>
      <c r="AY61" s="124"/>
      <c r="AZ61" s="7"/>
      <c r="BA61" s="126"/>
      <c r="BB61" s="126"/>
      <c r="BC61" s="126"/>
      <c r="BD61" s="126"/>
      <c r="BE61" s="126"/>
      <c r="BF61" s="126"/>
      <c r="BG61" s="126"/>
      <c r="BH61" s="126"/>
      <c r="BI61" s="126"/>
      <c r="BJ61" s="314"/>
    </row>
    <row r="62" spans="1:62" ht="13.5" x14ac:dyDescent="0.25">
      <c r="A62" s="314"/>
      <c r="B62" s="131" t="str">
        <f>CONCATENATE("CONVERTER BENEFITS - ON ",ROUND(AB23,2),N22," BUSINESS")</f>
        <v>CONVERTER BENEFITS - ON 7.9KT BUSINESS</v>
      </c>
      <c r="C62" s="53"/>
      <c r="D62" s="53"/>
      <c r="E62" s="53"/>
      <c r="F62" s="53"/>
      <c r="G62" s="53"/>
      <c r="H62" s="83"/>
      <c r="I62" s="53"/>
      <c r="J62" s="129"/>
      <c r="K62" s="129"/>
      <c r="L62" s="53"/>
      <c r="O62" s="116"/>
      <c r="P62" s="116"/>
      <c r="Q62" s="116"/>
      <c r="R62" s="116"/>
      <c r="S62" s="116"/>
      <c r="T62" s="116"/>
      <c r="U62" s="219"/>
      <c r="V62" s="220"/>
      <c r="W62" s="223" t="str">
        <f>CONCATENATE(C107,B76," (",J76," ",K76," ",L76,M76,")")</f>
        <v>CONVERTER SELLS @ MAXIMUM $ per 1000 sq m (50.829 $ per 1000 sq m = 1812.86$/TON)</v>
      </c>
      <c r="X62" s="224">
        <f>L83</f>
        <v>2.8710438356000001</v>
      </c>
      <c r="Y62" s="225">
        <f>L89</f>
        <v>-0.21620547945205482</v>
      </c>
      <c r="Z62" s="245"/>
      <c r="AA62" s="222"/>
      <c r="AB62" s="222"/>
      <c r="AC62" s="222"/>
      <c r="AD62" s="222"/>
      <c r="AE62" s="222"/>
      <c r="AF62" s="123"/>
      <c r="AG62" s="123"/>
      <c r="AH62" s="123"/>
      <c r="AI62" s="123"/>
      <c r="AJ62" s="123"/>
      <c r="AK62" s="7"/>
      <c r="AL62" s="7"/>
      <c r="AM62" s="228"/>
      <c r="AN62" s="228"/>
      <c r="AO62" s="124"/>
      <c r="AP62" s="124"/>
      <c r="AQ62" s="124"/>
      <c r="AR62" s="124"/>
      <c r="AS62" s="124"/>
      <c r="AT62" s="124"/>
      <c r="AU62" s="124"/>
      <c r="AV62" s="124"/>
      <c r="AW62" s="124"/>
      <c r="AX62" s="124"/>
      <c r="AY62" s="124"/>
      <c r="AZ62" s="7"/>
      <c r="BA62" s="126"/>
      <c r="BB62" s="126"/>
      <c r="BC62" s="126"/>
      <c r="BD62" s="126"/>
      <c r="BE62" s="126"/>
      <c r="BF62" s="126"/>
      <c r="BG62" s="126"/>
      <c r="BH62" s="126"/>
      <c r="BI62" s="126"/>
      <c r="BJ62" s="314"/>
    </row>
    <row r="63" spans="1:62" ht="13.5" x14ac:dyDescent="0.25">
      <c r="A63" s="314"/>
      <c r="B63" s="53" t="s">
        <v>57</v>
      </c>
      <c r="C63" s="53"/>
      <c r="D63" s="53"/>
      <c r="E63" s="162">
        <f>(AB23*J60)/(M22*J60)-1</f>
        <v>-0.20999999999999996</v>
      </c>
      <c r="F63" s="168" t="str">
        <f>IF(L63&lt;&gt;0,IF(L63&lt;0,"DECREASE","INCREASE"),"UNCHANGED")</f>
        <v>DECREASE</v>
      </c>
      <c r="G63" s="12"/>
      <c r="H63" s="83"/>
      <c r="I63" s="53"/>
      <c r="J63" s="129"/>
      <c r="K63" s="132" t="str">
        <f>CONCATENATE("( ",ROUND(AJ45,2),N22," + ",ROUND((AB23-AJ45),2),N22," ) * ",ROUND(J60,2),X44," - ",Z45,N22," * ",ROUND(J60,2),X44," =")</f>
        <v>( 7.53KT + 0.37KT ) * 1300$/TON - 10KT * 1300$/TON =</v>
      </c>
      <c r="L63" s="133">
        <f>ROUND((AB23*J60-M22*J60)/LOOKUP(1,J28:J30,L28:L30),3)</f>
        <v>-2.73</v>
      </c>
      <c r="M63" s="158" t="str">
        <f>CONCATENATE(LOOKUP(1,J28:J30,M28:M30)," pa")</f>
        <v>M$ pa</v>
      </c>
      <c r="N63" s="161" t="str">
        <f>IF(L63&lt;&gt;0,IF(L63&lt;0,"LOSS","GAIN"),"")</f>
        <v>LOSS</v>
      </c>
      <c r="O63" s="116"/>
      <c r="P63" s="116"/>
      <c r="Q63" s="116"/>
      <c r="R63" s="116"/>
      <c r="S63" s="116"/>
      <c r="T63" s="116"/>
      <c r="U63" s="219"/>
      <c r="V63" s="220"/>
      <c r="W63" s="223" t="str">
        <f>CONCATENATE(C107,B92," (",J92," ",K92," ",L92,M92,")")</f>
        <v>CONVERTER SELLS @ TARGET PRICE (1610 $/TON = 45.141$ per 1000 sq m)</v>
      </c>
      <c r="X63" s="224">
        <f>L99</f>
        <v>1.2680438355999999</v>
      </c>
      <c r="Y63" s="225">
        <f>L105</f>
        <v>1.4404849315068493</v>
      </c>
      <c r="Z63" s="245"/>
      <c r="AA63" s="222"/>
      <c r="AB63" s="222"/>
      <c r="AC63" s="222"/>
      <c r="AD63" s="222"/>
      <c r="AE63" s="222"/>
      <c r="AF63" s="123"/>
      <c r="AG63" s="123"/>
      <c r="AH63" s="123"/>
      <c r="AI63" s="123"/>
      <c r="AJ63" s="123"/>
      <c r="AK63" s="7"/>
      <c r="AL63" s="7"/>
      <c r="AM63" s="228"/>
      <c r="AN63" s="228"/>
      <c r="AO63" s="124"/>
      <c r="AP63" s="124"/>
      <c r="AQ63" s="124"/>
      <c r="AR63" s="124"/>
      <c r="AS63" s="124"/>
      <c r="AT63" s="124"/>
      <c r="AU63" s="124"/>
      <c r="AV63" s="124"/>
      <c r="AW63" s="124"/>
      <c r="AX63" s="124"/>
      <c r="AY63" s="124"/>
      <c r="AZ63" s="7"/>
      <c r="BA63" s="126"/>
      <c r="BB63" s="126"/>
      <c r="BC63" s="126"/>
      <c r="BD63" s="126"/>
      <c r="BE63" s="126"/>
      <c r="BF63" s="126"/>
      <c r="BG63" s="126"/>
      <c r="BH63" s="126"/>
      <c r="BI63" s="126"/>
      <c r="BJ63" s="314"/>
    </row>
    <row r="64" spans="1:62" ht="13.5" x14ac:dyDescent="0.25">
      <c r="A64" s="314"/>
      <c r="B64" s="53" t="s">
        <v>55</v>
      </c>
      <c r="C64" s="53"/>
      <c r="D64" s="53"/>
      <c r="E64" s="162">
        <f>(AB23*AB44)/(M22*Z44)-1</f>
        <v>-0.1287601122508224</v>
      </c>
      <c r="F64" s="168" t="str">
        <f>IF(L64&lt;&gt;0,IF(L64&lt;0,"INCREASE","DECREASE"),"UNCHANGED")</f>
        <v>DECREASE</v>
      </c>
      <c r="G64" s="12"/>
      <c r="H64" s="83"/>
      <c r="I64" s="53"/>
      <c r="J64" s="128"/>
      <c r="K64" s="132" t="str">
        <f>CONCATENATE(ROUND(Z45,2),N22," * ",ROUND(Z44,2),X44," - ","( ",ROUND(AJ45,2),N22," + ",ROUND((AB23-AJ45),2),N22," ) * ",ROUND(AB44,2),X44," =")</f>
        <v>10KT * 1033.4$/TON - ( 7.53KT + 0.37KT ) * 1139.67$/TON =</v>
      </c>
      <c r="L64" s="134">
        <f>ROUND((M22*Z44-AB23*AB44)/LOOKUP(1,J28:J30,L28:L30),3)</f>
        <v>1.331</v>
      </c>
      <c r="M64" s="158" t="str">
        <f>CONCATENATE(LOOKUP(1,J28:J30,M28:M30)," pa")</f>
        <v>M$ pa</v>
      </c>
      <c r="N64" s="161" t="str">
        <f>IF(L64&lt;&gt;0,IF(L64&lt;0,"LOSS","GAIN"),"")</f>
        <v>GAIN</v>
      </c>
      <c r="O64" s="116"/>
      <c r="P64" s="116"/>
      <c r="Q64" s="116"/>
      <c r="R64" s="116"/>
      <c r="S64" s="116"/>
      <c r="T64" s="116"/>
      <c r="U64" s="219"/>
      <c r="V64" s="220"/>
      <c r="W64" s="244"/>
      <c r="X64" s="245"/>
      <c r="Y64" s="245"/>
      <c r="Z64" s="245"/>
      <c r="AA64" s="222"/>
      <c r="AB64" s="222"/>
      <c r="AC64" s="222"/>
      <c r="AD64" s="222"/>
      <c r="AE64" s="222"/>
      <c r="AF64" s="123"/>
      <c r="AG64" s="123"/>
      <c r="AH64" s="123"/>
      <c r="AI64" s="123"/>
      <c r="AJ64" s="123"/>
      <c r="AK64" s="7"/>
      <c r="AL64" s="7"/>
      <c r="AM64" s="7"/>
      <c r="AN64" s="7"/>
      <c r="AO64" s="124"/>
      <c r="AP64" s="124"/>
      <c r="AQ64" s="124"/>
      <c r="AR64" s="124"/>
      <c r="AS64" s="124"/>
      <c r="AT64" s="124"/>
      <c r="AU64" s="124"/>
      <c r="AV64" s="124"/>
      <c r="AW64" s="124"/>
      <c r="AX64" s="124"/>
      <c r="AY64" s="124"/>
      <c r="AZ64" s="7"/>
      <c r="BA64" s="126"/>
      <c r="BB64" s="126"/>
      <c r="BC64" s="126"/>
      <c r="BD64" s="126"/>
      <c r="BE64" s="126"/>
      <c r="BF64" s="126"/>
      <c r="BG64" s="126"/>
      <c r="BH64" s="126"/>
      <c r="BI64" s="126"/>
      <c r="BJ64" s="314"/>
    </row>
    <row r="65" spans="1:62" ht="13.5" x14ac:dyDescent="0.25">
      <c r="A65" s="314"/>
      <c r="B65" s="53" t="s">
        <v>56</v>
      </c>
      <c r="C65" s="53"/>
      <c r="D65" s="53"/>
      <c r="E65" s="162">
        <f>IF(M26&lt;&gt;0,(AB23*AB44)/(M22*Z44)-1,"")</f>
        <v>-0.1287601122508224</v>
      </c>
      <c r="F65" s="168" t="str">
        <f>IF(L65&lt;&gt;0,IF(L65&lt;0,"INCREASE","DECREASE"),"UNCHANGED")</f>
        <v>DECREASE</v>
      </c>
      <c r="G65" s="12"/>
      <c r="H65" s="83"/>
      <c r="I65" s="53"/>
      <c r="J65" s="128"/>
      <c r="K65" s="132" t="str">
        <f>CONCATENATE(M26,"/365 * [",Z45,N22,"*",ROUND(Z44,2),X44,"-","(",ROUND(AJ45,2),N22,"+",ROUND((AB23-AJ45),2),N22,")*",ROUND(AB44,2),X44,"] =")</f>
        <v>31/365 * [10KT*1033.4$/TON-(7.53KT+0.37KT)*1139.67$/TON] =</v>
      </c>
      <c r="L65" s="134">
        <f>ROUND(M26/365*(L64),10)</f>
        <v>0.1130438356</v>
      </c>
      <c r="M65" s="158" t="str">
        <f>CONCATENATE(LOOKUP(1,J28:J30,M28:M30)," pa")</f>
        <v>M$ pa</v>
      </c>
      <c r="N65" s="161" t="str">
        <f>IF(L65&lt;&gt;0,IF(L65&lt;0,"LOSS","GAIN"),"")</f>
        <v>GAIN</v>
      </c>
      <c r="O65" s="116"/>
      <c r="P65" s="116"/>
      <c r="Q65" s="116"/>
      <c r="R65" s="116"/>
      <c r="S65" s="116"/>
      <c r="T65" s="116"/>
      <c r="U65" s="219"/>
      <c r="V65" s="220"/>
      <c r="W65" s="221"/>
      <c r="X65" s="222"/>
      <c r="Y65" s="222"/>
      <c r="Z65" s="222"/>
      <c r="AA65" s="222"/>
      <c r="AB65" s="222"/>
      <c r="AC65" s="222"/>
      <c r="AD65" s="222"/>
      <c r="AE65" s="222"/>
      <c r="AF65" s="123"/>
      <c r="AG65" s="123"/>
      <c r="AH65" s="123"/>
      <c r="AI65" s="123"/>
      <c r="AJ65" s="123"/>
      <c r="AK65" s="7"/>
      <c r="AL65" s="7"/>
      <c r="AM65" s="7"/>
      <c r="AN65" s="7"/>
      <c r="AO65" s="124"/>
      <c r="AP65" s="124"/>
      <c r="AQ65" s="124"/>
      <c r="AR65" s="124"/>
      <c r="AS65" s="124"/>
      <c r="AT65" s="124"/>
      <c r="AU65" s="124"/>
      <c r="AV65" s="124"/>
      <c r="AW65" s="124"/>
      <c r="AX65" s="124"/>
      <c r="AY65" s="124"/>
      <c r="AZ65" s="7"/>
      <c r="BA65" s="126"/>
      <c r="BB65" s="126"/>
      <c r="BC65" s="126"/>
      <c r="BD65" s="126"/>
      <c r="BE65" s="126"/>
      <c r="BF65" s="126"/>
      <c r="BG65" s="126"/>
      <c r="BH65" s="126"/>
      <c r="BI65" s="126"/>
      <c r="BJ65" s="314"/>
    </row>
    <row r="66" spans="1:62" ht="13.5" x14ac:dyDescent="0.25">
      <c r="A66" s="314"/>
      <c r="B66" s="130" t="s">
        <v>60</v>
      </c>
      <c r="C66" s="53"/>
      <c r="D66" s="53"/>
      <c r="E66" s="163">
        <f>AB23/M22-1</f>
        <v>-0.20999999999999996</v>
      </c>
      <c r="F66" s="168" t="str">
        <f>IF(L66&lt;&gt;0,IF(L66&lt;0,"INCREASE","DECREASE"),"UNCHANGED")</f>
        <v>DECREASE</v>
      </c>
      <c r="G66" s="83"/>
      <c r="H66" s="83"/>
      <c r="I66" s="53"/>
      <c r="J66" s="128"/>
      <c r="K66" s="132" t="str">
        <f>CONCATENATE(M27,N27," * ( ",M22,N22," - ",ROUND(AB23,2),N22," ) =")</f>
        <v>50$/TON * ( 10KT - 7.9KT ) =</v>
      </c>
      <c r="L66" s="122">
        <f>ROUND((M22-AB23)*M27/LOOKUP(1,J28:J30,L28:L30),3)</f>
        <v>0.105</v>
      </c>
      <c r="M66" s="159" t="str">
        <f>CONCATENATE(LOOKUP(1,J28:J30,M28:M30)," pa")</f>
        <v>M$ pa</v>
      </c>
      <c r="N66" s="161" t="str">
        <f>IF(L66&lt;&gt;0,IF(L66&lt;0,"LOSS","GAIN"),"")</f>
        <v>GAIN</v>
      </c>
      <c r="O66" s="116"/>
      <c r="P66" s="116"/>
      <c r="Q66" s="116"/>
      <c r="R66" s="116"/>
      <c r="S66" s="116"/>
      <c r="T66" s="116"/>
      <c r="U66" s="219"/>
      <c r="V66" s="220"/>
      <c r="W66" s="221"/>
      <c r="X66" s="222"/>
      <c r="Y66" s="222"/>
      <c r="Z66" s="222"/>
      <c r="AA66" s="222"/>
      <c r="AB66" s="222"/>
      <c r="AC66" s="222"/>
      <c r="AD66" s="222"/>
      <c r="AE66" s="222"/>
      <c r="AF66" s="123"/>
      <c r="AG66" s="123"/>
      <c r="AH66" s="123"/>
      <c r="AI66" s="123"/>
      <c r="AJ66" s="123"/>
      <c r="AK66" s="7"/>
      <c r="AL66" s="7"/>
      <c r="AM66" s="7"/>
      <c r="AN66" s="7"/>
      <c r="AO66" s="124"/>
      <c r="AP66" s="124"/>
      <c r="AQ66" s="124"/>
      <c r="AR66" s="124"/>
      <c r="AS66" s="124"/>
      <c r="AT66" s="124"/>
      <c r="AU66" s="124"/>
      <c r="AV66" s="124"/>
      <c r="AW66" s="124"/>
      <c r="AX66" s="124"/>
      <c r="AY66" s="124"/>
      <c r="AZ66" s="7"/>
      <c r="BA66" s="126"/>
      <c r="BB66" s="126"/>
      <c r="BC66" s="126"/>
      <c r="BD66" s="126"/>
      <c r="BE66" s="126"/>
      <c r="BF66" s="126"/>
      <c r="BG66" s="126"/>
      <c r="BH66" s="126"/>
      <c r="BI66" s="126"/>
      <c r="BJ66" s="314"/>
    </row>
    <row r="67" spans="1:62" ht="13.5" x14ac:dyDescent="0.25">
      <c r="A67" s="314"/>
      <c r="B67" s="117"/>
      <c r="C67" s="53"/>
      <c r="D67" s="117"/>
      <c r="E67" s="162"/>
      <c r="F67" s="158"/>
      <c r="G67" s="12"/>
      <c r="H67" s="83"/>
      <c r="I67" s="53"/>
      <c r="J67" s="130"/>
      <c r="K67" s="117" t="s">
        <v>77</v>
      </c>
      <c r="L67" s="134">
        <f>SUM(L63:L66)</f>
        <v>-1.1809561644</v>
      </c>
      <c r="M67" s="158" t="str">
        <f>CONCATENATE(LOOKUP(1,J28:J30,M28:M30)," pa")</f>
        <v>M$ pa</v>
      </c>
      <c r="N67" s="162" t="str">
        <f>IF(L67&lt;&gt;0,IF(L67&lt;0,"LOSS","GAIN"),"")</f>
        <v>LOSS</v>
      </c>
      <c r="O67" s="116"/>
      <c r="P67" s="116"/>
      <c r="Q67" s="116"/>
      <c r="R67" s="116"/>
      <c r="S67" s="116"/>
      <c r="T67" s="116"/>
      <c r="U67" s="219"/>
      <c r="V67" s="220"/>
      <c r="W67" s="221"/>
      <c r="X67" s="222"/>
      <c r="Y67" s="222"/>
      <c r="Z67" s="222"/>
      <c r="AA67" s="222"/>
      <c r="AB67" s="222"/>
      <c r="AC67" s="222"/>
      <c r="AD67" s="222"/>
      <c r="AE67" s="222"/>
      <c r="AF67" s="123"/>
      <c r="AG67" s="123"/>
      <c r="AH67" s="123"/>
      <c r="AI67" s="123"/>
      <c r="AJ67" s="123"/>
      <c r="AK67" s="124"/>
      <c r="AL67" s="124"/>
      <c r="AM67" s="124"/>
      <c r="AN67" s="124"/>
      <c r="AO67" s="124"/>
      <c r="AP67" s="124"/>
      <c r="AQ67" s="124"/>
      <c r="AR67" s="124"/>
      <c r="AS67" s="124"/>
      <c r="AT67" s="124"/>
      <c r="AU67" s="124"/>
      <c r="AV67" s="124"/>
      <c r="AW67" s="124"/>
      <c r="AX67" s="124"/>
      <c r="AY67" s="124"/>
      <c r="AZ67" s="7"/>
      <c r="BA67" s="126"/>
      <c r="BB67" s="126"/>
      <c r="BC67" s="126"/>
      <c r="BD67" s="126"/>
      <c r="BE67" s="126"/>
      <c r="BF67" s="126"/>
      <c r="BG67" s="126"/>
      <c r="BH67" s="126"/>
      <c r="BI67" s="126"/>
      <c r="BJ67" s="314"/>
    </row>
    <row r="68" spans="1:62" ht="13.5" x14ac:dyDescent="0.25">
      <c r="A68" s="314"/>
      <c r="B68" s="130"/>
      <c r="C68" s="53"/>
      <c r="D68" s="130"/>
      <c r="E68" s="130"/>
      <c r="F68" s="130"/>
      <c r="G68" s="12"/>
      <c r="H68" s="83"/>
      <c r="I68" s="53"/>
      <c r="J68" s="128"/>
      <c r="K68" s="128"/>
      <c r="L68" s="130"/>
      <c r="M68" s="130"/>
      <c r="N68" s="159"/>
      <c r="O68" s="116"/>
      <c r="P68" s="116"/>
      <c r="Q68" s="116"/>
      <c r="R68" s="116"/>
      <c r="S68" s="116"/>
      <c r="T68" s="116"/>
      <c r="U68" s="219"/>
      <c r="V68" s="220"/>
      <c r="W68" s="221"/>
      <c r="X68" s="222"/>
      <c r="Y68" s="222"/>
      <c r="Z68" s="222"/>
      <c r="AA68" s="222"/>
      <c r="AB68" s="222"/>
      <c r="AC68" s="222"/>
      <c r="AD68" s="222"/>
      <c r="AE68" s="222"/>
      <c r="AF68" s="123"/>
      <c r="AG68" s="123"/>
      <c r="AH68" s="123"/>
      <c r="AI68" s="123"/>
      <c r="AJ68" s="123"/>
      <c r="AK68" s="124"/>
      <c r="AL68" s="124"/>
      <c r="AM68" s="124"/>
      <c r="AN68" s="124"/>
      <c r="AO68" s="124"/>
      <c r="AP68" s="124"/>
      <c r="AQ68" s="124"/>
      <c r="AR68" s="124"/>
      <c r="AS68" s="124"/>
      <c r="AT68" s="124"/>
      <c r="AU68" s="124"/>
      <c r="AV68" s="124"/>
      <c r="AW68" s="124"/>
      <c r="AX68" s="124"/>
      <c r="AY68" s="124"/>
      <c r="AZ68" s="7"/>
      <c r="BA68" s="126"/>
      <c r="BB68" s="126"/>
      <c r="BC68" s="126"/>
      <c r="BD68" s="126"/>
      <c r="BE68" s="126"/>
      <c r="BF68" s="126"/>
      <c r="BG68" s="126"/>
      <c r="BH68" s="126"/>
      <c r="BI68" s="126"/>
      <c r="BJ68" s="314"/>
    </row>
    <row r="69" spans="1:62" ht="13.5" x14ac:dyDescent="0.25">
      <c r="A69" s="314"/>
      <c r="B69" s="136" t="str">
        <f>CONCATENATE("DOWNSTREAM PLAYERS BENEFITS - BUYING SAME ",LOOKUP(BA6,BC9:BC32,BG9:BG32))</f>
        <v>DOWNSTREAM PLAYERS BENEFITS - BUYING SAME sq m</v>
      </c>
      <c r="C69" s="53"/>
      <c r="D69" s="137"/>
      <c r="E69" s="137"/>
      <c r="F69" s="137"/>
      <c r="G69" s="12"/>
      <c r="H69" s="83"/>
      <c r="I69" s="53"/>
      <c r="J69" s="128"/>
      <c r="K69" s="128"/>
      <c r="L69" s="137"/>
      <c r="O69" s="116"/>
      <c r="P69" s="116"/>
      <c r="Q69" s="116"/>
      <c r="R69" s="116"/>
      <c r="S69" s="116"/>
      <c r="T69" s="116"/>
      <c r="U69" s="219"/>
      <c r="V69" s="220"/>
      <c r="W69" s="221"/>
      <c r="X69" s="222"/>
      <c r="Y69" s="222"/>
      <c r="Z69" s="222"/>
      <c r="AA69" s="222"/>
      <c r="AB69" s="222"/>
      <c r="AC69" s="222"/>
      <c r="AD69" s="222"/>
      <c r="AE69" s="222"/>
      <c r="AF69" s="123"/>
      <c r="AG69" s="123"/>
      <c r="AH69" s="123"/>
      <c r="AI69" s="123"/>
      <c r="AJ69" s="123"/>
      <c r="AK69" s="124"/>
      <c r="AL69" s="124"/>
      <c r="AM69" s="124"/>
      <c r="AN69" s="124"/>
      <c r="AO69" s="124"/>
      <c r="AP69" s="124"/>
      <c r="AQ69" s="124"/>
      <c r="AR69" s="124"/>
      <c r="AS69" s="124"/>
      <c r="AT69" s="124"/>
      <c r="AU69" s="124"/>
      <c r="AV69" s="124"/>
      <c r="AW69" s="124"/>
      <c r="AX69" s="124"/>
      <c r="AY69" s="124"/>
      <c r="AZ69" s="7"/>
      <c r="BA69" s="126"/>
      <c r="BB69" s="126"/>
      <c r="BC69" s="126"/>
      <c r="BD69" s="126"/>
      <c r="BE69" s="126"/>
      <c r="BF69" s="126"/>
      <c r="BG69" s="126"/>
      <c r="BH69" s="126"/>
      <c r="BI69" s="126"/>
      <c r="BJ69" s="314"/>
    </row>
    <row r="70" spans="1:62" ht="13.5" x14ac:dyDescent="0.25">
      <c r="A70" s="314"/>
      <c r="B70" s="130" t="s">
        <v>76</v>
      </c>
      <c r="C70" s="53"/>
      <c r="D70" s="130"/>
      <c r="E70" s="163">
        <f>AJ45/Z45-1</f>
        <v>-0.24704460658438865</v>
      </c>
      <c r="F70" s="168" t="str">
        <f>IF(L70&lt;&gt;0,IF(L70&lt;0,"INCREASE","DECREASE"),"UNCHANGED")</f>
        <v>DECREASE</v>
      </c>
      <c r="G70" s="12"/>
      <c r="H70" s="83"/>
      <c r="I70" s="53"/>
      <c r="J70" s="128"/>
      <c r="K70" s="132" t="str">
        <f>CONCATENATE("( ",ROUND(Z45,2),N22," - ",ROUND(AJ45,2),N22," ) * ",ROUND(J60,2),X44," =")</f>
        <v>( 10KT - 7.53KT ) * 1300$/TON =</v>
      </c>
      <c r="L70" s="122">
        <f>ROUND((Z45*J60-AJ45*J60)/LOOKUP(1,J28:J30,L28:L30),3)</f>
        <v>3.2120000000000002</v>
      </c>
      <c r="M70" s="159" t="str">
        <f>CONCATENATE(LOOKUP(1,J28:J30,M28:M30)," pa")</f>
        <v>M$ pa</v>
      </c>
      <c r="N70" s="161" t="str">
        <f>IF(L70&lt;&gt;0,IF(L70&lt;0,"LOSS","GAIN"),"")</f>
        <v>GAIN</v>
      </c>
      <c r="O70" s="116"/>
      <c r="P70" s="116"/>
      <c r="Q70" s="116"/>
      <c r="R70" s="116"/>
      <c r="S70" s="116"/>
      <c r="T70" s="116"/>
      <c r="U70" s="219"/>
      <c r="V70" s="220"/>
      <c r="W70" s="221"/>
      <c r="X70" s="222"/>
      <c r="Y70" s="222"/>
      <c r="Z70" s="222"/>
      <c r="AA70" s="222"/>
      <c r="AB70" s="222"/>
      <c r="AC70" s="222"/>
      <c r="AD70" s="222"/>
      <c r="AE70" s="222"/>
      <c r="AF70" s="123"/>
      <c r="AG70" s="123"/>
      <c r="AH70" s="123"/>
      <c r="AI70" s="123"/>
      <c r="AJ70" s="123"/>
      <c r="AK70" s="124"/>
      <c r="AL70" s="124"/>
      <c r="AM70" s="124"/>
      <c r="AN70" s="124"/>
      <c r="AO70" s="124"/>
      <c r="AP70" s="124"/>
      <c r="AQ70" s="124"/>
      <c r="AR70" s="124"/>
      <c r="AS70" s="124"/>
      <c r="AT70" s="124"/>
      <c r="AU70" s="124"/>
      <c r="AV70" s="124"/>
      <c r="AW70" s="124"/>
      <c r="AX70" s="124"/>
      <c r="AY70" s="124"/>
      <c r="AZ70" s="7"/>
      <c r="BA70" s="126"/>
      <c r="BB70" s="126"/>
      <c r="BC70" s="126"/>
      <c r="BD70" s="126"/>
      <c r="BE70" s="126"/>
      <c r="BF70" s="126"/>
      <c r="BG70" s="126"/>
      <c r="BH70" s="126"/>
      <c r="BI70" s="126"/>
      <c r="BJ70" s="314"/>
    </row>
    <row r="71" spans="1:62" ht="13.5" x14ac:dyDescent="0.25">
      <c r="A71" s="314"/>
      <c r="B71" s="130" t="s">
        <v>56</v>
      </c>
      <c r="C71" s="53"/>
      <c r="D71" s="130"/>
      <c r="E71" s="163">
        <f>IF(M26&lt;&gt;0,AJ45/Z45-1,"")</f>
        <v>-0.24704460658438865</v>
      </c>
      <c r="F71" s="168" t="str">
        <f>IF(L71&lt;&gt;0,IF(L71&lt;0,"INCREASE","DECREASE"),"UNCHANGED")</f>
        <v>DECREASE</v>
      </c>
      <c r="G71" s="12"/>
      <c r="H71" s="83"/>
      <c r="I71" s="53"/>
      <c r="J71" s="128"/>
      <c r="K71" s="132" t="str">
        <f>CONCATENATE(M26," / 365 * ","( ",ROUND(Z45,2),N22," - ",ROUND(AJ45,2),N22," ) * ",ROUND(J60,2),X44," =")</f>
        <v>31 / 365 * ( 10KT - 7.53KT ) * 1300$/TON =</v>
      </c>
      <c r="L71" s="122">
        <f>ROUND(M26/365*(Z45*J60-AJ45*J60)/LOOKUP(1,J28:J30,L28:L30),3)</f>
        <v>0.27300000000000002</v>
      </c>
      <c r="M71" s="159" t="str">
        <f>CONCATENATE(LOOKUP(1,J28:J30,M28:M30)," pa")</f>
        <v>M$ pa</v>
      </c>
      <c r="N71" s="161" t="str">
        <f>IF(L71&lt;&gt;0,IF(L71&lt;0,"LOSS","GAIN"),"")</f>
        <v>GAIN</v>
      </c>
      <c r="O71" s="116"/>
      <c r="P71" s="116"/>
      <c r="Q71" s="116"/>
      <c r="R71" s="116"/>
      <c r="S71" s="116"/>
      <c r="T71" s="116"/>
      <c r="U71" s="219"/>
      <c r="V71" s="220"/>
      <c r="W71" s="221"/>
      <c r="X71" s="222"/>
      <c r="Y71" s="222"/>
      <c r="Z71" s="222"/>
      <c r="AA71" s="222"/>
      <c r="AB71" s="222"/>
      <c r="AC71" s="222"/>
      <c r="AD71" s="222"/>
      <c r="AE71" s="222"/>
      <c r="AF71" s="123"/>
      <c r="AG71" s="123"/>
      <c r="AH71" s="123"/>
      <c r="AI71" s="123"/>
      <c r="AJ71" s="123"/>
      <c r="AK71" s="124"/>
      <c r="AL71" s="124"/>
      <c r="AM71" s="124"/>
      <c r="AN71" s="124"/>
      <c r="AO71" s="124"/>
      <c r="AP71" s="124"/>
      <c r="AQ71" s="124"/>
      <c r="AR71" s="124"/>
      <c r="AS71" s="124"/>
      <c r="AT71" s="124"/>
      <c r="AU71" s="124"/>
      <c r="AV71" s="124"/>
      <c r="AW71" s="124"/>
      <c r="AX71" s="124"/>
      <c r="AY71" s="124"/>
      <c r="AZ71" s="7"/>
      <c r="BA71" s="126"/>
      <c r="BB71" s="126"/>
      <c r="BC71" s="126"/>
      <c r="BD71" s="126"/>
      <c r="BE71" s="126"/>
      <c r="BF71" s="126"/>
      <c r="BG71" s="126"/>
      <c r="BH71" s="126"/>
      <c r="BI71" s="126"/>
      <c r="BJ71" s="314"/>
    </row>
    <row r="72" spans="1:62" ht="13.5" x14ac:dyDescent="0.25">
      <c r="A72" s="314"/>
      <c r="B72" s="137" t="str">
        <f>IF(AB27&lt;&gt;100%,"UNIT VALUE ADD","")</f>
        <v>UNIT VALUE ADD</v>
      </c>
      <c r="C72" s="53"/>
      <c r="D72" s="130"/>
      <c r="E72" s="163">
        <f>IF(AB27&lt;&gt;100%,(AB27-1),"")</f>
        <v>5.0000000000000044E-2</v>
      </c>
      <c r="F72" s="168" t="str">
        <f>IF(AB27&lt;&gt;100%,IF(L72&lt;&gt;0,IF(L72&lt;0,"DECREASE","INCREASE"),"UNCHANGED"),"")</f>
        <v>INCREASE</v>
      </c>
      <c r="G72" s="12"/>
      <c r="H72" s="83"/>
      <c r="I72" s="53"/>
      <c r="J72" s="128"/>
      <c r="K72" s="240" t="str">
        <f>IF(AB27&lt;&gt;100%,CONCATENATE("(",ROUND(AB27,2)*100,"% - ","100%) * ",ROUND(J60,2),X44," * ",ROUND(AJ45,2),AC23," ="),"")</f>
        <v>(105% - 100%) * 1300$/TON * 7.53KT =</v>
      </c>
      <c r="L72" s="122">
        <f>IF(AB27&lt;&gt;100%,ROUND(((AB27-1)*J60*AJ45)/LOOKUP(1,J28:J30,L28:L30),3),"")</f>
        <v>0.48899999999999999</v>
      </c>
      <c r="M72" s="159" t="str">
        <f>IF(AB27&lt;&gt;100%,CONCATENATE(LOOKUP(1,J28:J30,M28:M30)," pa"),"")</f>
        <v>M$ pa</v>
      </c>
      <c r="N72" s="161" t="str">
        <f>IF(AB27&lt;&gt;100%,IF(L72&lt;&gt;0,IF(L72&lt;0,"LOSS","GAIN"),""),"")</f>
        <v>GAIN</v>
      </c>
      <c r="O72" s="116"/>
      <c r="P72" s="116"/>
      <c r="Q72" s="116"/>
      <c r="R72" s="116"/>
      <c r="S72" s="116"/>
      <c r="T72" s="116"/>
      <c r="U72" s="219"/>
      <c r="V72" s="220"/>
      <c r="W72" s="221"/>
      <c r="X72" s="222"/>
      <c r="Y72" s="222"/>
      <c r="Z72" s="222"/>
      <c r="AA72" s="222"/>
      <c r="AB72" s="222"/>
      <c r="AC72" s="222"/>
      <c r="AD72" s="222"/>
      <c r="AE72" s="222"/>
      <c r="AF72" s="123"/>
      <c r="AG72" s="123"/>
      <c r="AH72" s="123"/>
      <c r="AI72" s="123"/>
      <c r="AJ72" s="123"/>
      <c r="AK72" s="124"/>
      <c r="AL72" s="124"/>
      <c r="AM72" s="124"/>
      <c r="AN72" s="124"/>
      <c r="AO72" s="124"/>
      <c r="AP72" s="124"/>
      <c r="AQ72" s="124"/>
      <c r="AR72" s="124"/>
      <c r="AS72" s="124"/>
      <c r="AT72" s="124"/>
      <c r="AU72" s="124"/>
      <c r="AV72" s="124"/>
      <c r="AW72" s="124"/>
      <c r="AX72" s="124"/>
      <c r="AY72" s="124"/>
      <c r="AZ72" s="7"/>
      <c r="BA72" s="126"/>
      <c r="BB72" s="126"/>
      <c r="BC72" s="126"/>
      <c r="BD72" s="126"/>
      <c r="BE72" s="126"/>
      <c r="BF72" s="126"/>
      <c r="BG72" s="126"/>
      <c r="BH72" s="126"/>
      <c r="BI72" s="126"/>
      <c r="BJ72" s="314"/>
    </row>
    <row r="73" spans="1:62" ht="13.5" x14ac:dyDescent="0.25">
      <c r="A73" s="314"/>
      <c r="B73" s="117"/>
      <c r="C73" s="53"/>
      <c r="D73" s="117"/>
      <c r="E73" s="163"/>
      <c r="F73" s="158"/>
      <c r="G73" s="12"/>
      <c r="H73" s="83"/>
      <c r="I73" s="53"/>
      <c r="J73" s="130"/>
      <c r="K73" s="117" t="s">
        <v>77</v>
      </c>
      <c r="L73" s="134">
        <f>SUM(L70:L72)</f>
        <v>3.9740000000000002</v>
      </c>
      <c r="M73" s="158" t="str">
        <f>CONCATENATE(LOOKUP(1,J28:J30,M28:M30)," pa")</f>
        <v>M$ pa</v>
      </c>
      <c r="N73" s="162" t="str">
        <f>IF(L73&lt;&gt;0,IF(L73&lt;0,"LOSS","GAIN"),"")</f>
        <v>GAIN</v>
      </c>
      <c r="O73" s="116"/>
      <c r="P73" s="116"/>
      <c r="Q73" s="116"/>
      <c r="R73" s="116"/>
      <c r="S73" s="116"/>
      <c r="T73" s="116"/>
      <c r="U73" s="219"/>
      <c r="V73" s="220"/>
      <c r="W73" s="221"/>
      <c r="X73" s="222"/>
      <c r="Y73" s="222"/>
      <c r="Z73" s="222"/>
      <c r="AA73" s="222"/>
      <c r="AB73" s="222"/>
      <c r="AC73" s="222"/>
      <c r="AD73" s="222"/>
      <c r="AE73" s="222"/>
      <c r="AF73" s="123"/>
      <c r="AG73" s="123"/>
      <c r="AH73" s="123"/>
      <c r="AI73" s="123"/>
      <c r="AJ73" s="123"/>
      <c r="AK73" s="124"/>
      <c r="AL73" s="124"/>
      <c r="AM73" s="124"/>
      <c r="AN73" s="124"/>
      <c r="AO73" s="124"/>
      <c r="AP73" s="124"/>
      <c r="AQ73" s="124"/>
      <c r="AR73" s="124"/>
      <c r="AS73" s="124"/>
      <c r="AT73" s="124"/>
      <c r="AU73" s="124"/>
      <c r="AV73" s="124"/>
      <c r="AW73" s="124"/>
      <c r="AX73" s="124"/>
      <c r="AY73" s="124"/>
      <c r="AZ73" s="7"/>
      <c r="BA73" s="126"/>
      <c r="BB73" s="126"/>
      <c r="BC73" s="126"/>
      <c r="BD73" s="126"/>
      <c r="BE73" s="126"/>
      <c r="BF73" s="126"/>
      <c r="BG73" s="126"/>
      <c r="BH73" s="126"/>
      <c r="BI73" s="126"/>
      <c r="BJ73" s="314"/>
    </row>
    <row r="74" spans="1:62" ht="13.5" x14ac:dyDescent="0.25">
      <c r="A74" s="314"/>
      <c r="B74" s="130"/>
      <c r="C74" s="53"/>
      <c r="D74" s="130"/>
      <c r="E74" s="130"/>
      <c r="F74" s="130"/>
      <c r="G74" s="138"/>
      <c r="H74" s="83"/>
      <c r="I74" s="53"/>
      <c r="J74" s="128"/>
      <c r="K74" s="128"/>
      <c r="L74" s="122"/>
      <c r="M74" s="53"/>
      <c r="N74" s="53"/>
      <c r="O74" s="116"/>
      <c r="P74" s="116"/>
      <c r="Q74" s="116"/>
      <c r="R74" s="116"/>
      <c r="S74" s="116"/>
      <c r="T74" s="116"/>
      <c r="U74" s="219"/>
      <c r="V74" s="220"/>
      <c r="W74" s="221"/>
      <c r="X74" s="222"/>
      <c r="Y74" s="222"/>
      <c r="Z74" s="222"/>
      <c r="AA74" s="222"/>
      <c r="AB74" s="222"/>
      <c r="AC74" s="222"/>
      <c r="AD74" s="222"/>
      <c r="AE74" s="222"/>
      <c r="AF74" s="123"/>
      <c r="AG74" s="123"/>
      <c r="AH74" s="123"/>
      <c r="AI74" s="123"/>
      <c r="AJ74" s="123"/>
      <c r="AK74" s="124"/>
      <c r="AL74" s="124"/>
      <c r="AM74" s="124"/>
      <c r="AN74" s="124"/>
      <c r="AO74" s="124"/>
      <c r="AP74" s="124"/>
      <c r="AQ74" s="124"/>
      <c r="AR74" s="124"/>
      <c r="AS74" s="124"/>
      <c r="AT74" s="124"/>
      <c r="AU74" s="124"/>
      <c r="AV74" s="124"/>
      <c r="AW74" s="124"/>
      <c r="AX74" s="124"/>
      <c r="AY74" s="124"/>
      <c r="AZ74" s="7"/>
      <c r="BA74" s="126"/>
      <c r="BB74" s="126"/>
      <c r="BC74" s="126"/>
      <c r="BD74" s="126"/>
      <c r="BE74" s="126"/>
      <c r="BF74" s="126"/>
      <c r="BG74" s="126"/>
      <c r="BH74" s="126"/>
      <c r="BI74" s="126"/>
      <c r="BJ74" s="314"/>
    </row>
    <row r="75" spans="1:62" ht="3" customHeight="1" x14ac:dyDescent="0.25">
      <c r="A75" s="314"/>
      <c r="B75" s="116"/>
      <c r="C75" s="116"/>
      <c r="D75" s="116"/>
      <c r="E75" s="116"/>
      <c r="F75" s="116"/>
      <c r="G75" s="116"/>
      <c r="H75" s="116"/>
      <c r="I75" s="116"/>
      <c r="J75" s="127"/>
      <c r="K75" s="127"/>
      <c r="L75" s="116"/>
      <c r="M75" s="116"/>
      <c r="N75" s="116"/>
      <c r="O75" s="116"/>
      <c r="P75" s="116"/>
      <c r="Q75" s="116"/>
      <c r="R75" s="116"/>
      <c r="S75" s="116"/>
      <c r="T75" s="116"/>
      <c r="U75" s="219"/>
      <c r="V75" s="219"/>
      <c r="W75" s="219"/>
      <c r="X75" s="219"/>
      <c r="Y75" s="222"/>
      <c r="Z75" s="222"/>
      <c r="AA75" s="222"/>
      <c r="AB75" s="222"/>
      <c r="AC75" s="222"/>
      <c r="AD75" s="222"/>
      <c r="AE75" s="222"/>
      <c r="AF75" s="123"/>
      <c r="AG75" s="123"/>
      <c r="AH75" s="123"/>
      <c r="AI75" s="123"/>
      <c r="AJ75" s="123"/>
      <c r="AK75" s="124"/>
      <c r="AL75" s="124"/>
      <c r="AM75" s="124"/>
      <c r="AN75" s="124"/>
      <c r="AO75" s="124"/>
      <c r="AP75" s="124"/>
      <c r="AQ75" s="124"/>
      <c r="AR75" s="124"/>
      <c r="AS75" s="124"/>
      <c r="AT75" s="124"/>
      <c r="AU75" s="124"/>
      <c r="AV75" s="124"/>
      <c r="AW75" s="124"/>
      <c r="AX75" s="124"/>
      <c r="AY75" s="124"/>
      <c r="AZ75" s="7"/>
      <c r="BA75" s="126"/>
      <c r="BB75" s="126"/>
      <c r="BC75" s="126"/>
      <c r="BD75" s="126"/>
      <c r="BE75" s="126"/>
      <c r="BF75" s="126"/>
      <c r="BG75" s="126"/>
      <c r="BH75" s="126"/>
      <c r="BI75" s="126"/>
      <c r="BJ75" s="314"/>
    </row>
    <row r="76" spans="1:62" ht="13.5" x14ac:dyDescent="0.25">
      <c r="A76" s="314"/>
      <c r="B76" s="194" t="str">
        <f>CONCATENATE("CONVERTER SELLS @ ",IF(AB27&gt;1,"MAXIMUM ","CONSTANT "),X41)</f>
        <v>CONVERTER SELLS @ MAXIMUM $ per 1000 sq m</v>
      </c>
      <c r="C76" s="195"/>
      <c r="D76" s="195"/>
      <c r="E76" s="137"/>
      <c r="F76" s="139"/>
      <c r="G76" s="139"/>
      <c r="H76" s="119"/>
      <c r="I76" s="120" t="str">
        <f>IF(AB27&lt;&gt;100%,CONCATENATE(ROUND(AB27*100,0),"% * ",ROUND(M25*100,0),"% * ",ROUND(Z41,0),X41," ="),CONCATENATE(ROUND(M25*100,0),"% * ",ROUND(Z41,0),X41," ="))</f>
        <v>105% * 126% * 38$ per 1000 sq m =</v>
      </c>
      <c r="J76" s="121">
        <f>ROUND(Z41*M25*AB27,3)</f>
        <v>50.829000000000001</v>
      </c>
      <c r="K76" s="139" t="str">
        <f>CONCATENATE(X41," =")</f>
        <v>$ per 1000 sq m =</v>
      </c>
      <c r="L76" s="121">
        <f>ROUND(J60/(1-AB26)*(Z42/AB42)*AB27,2)</f>
        <v>1812.86</v>
      </c>
      <c r="M76" s="235" t="str">
        <f>F8</f>
        <v>$/TON</v>
      </c>
      <c r="N76" s="236"/>
      <c r="O76" s="116"/>
      <c r="P76" s="116"/>
      <c r="Q76" s="116"/>
      <c r="R76" s="116"/>
      <c r="S76" s="116"/>
      <c r="T76" s="116"/>
      <c r="U76" s="219"/>
      <c r="V76" s="220"/>
      <c r="W76" s="221"/>
      <c r="X76" s="222"/>
      <c r="Y76" s="222"/>
      <c r="Z76" s="222"/>
      <c r="AA76" s="222"/>
      <c r="AB76" s="222"/>
      <c r="AC76" s="222"/>
      <c r="AD76" s="222"/>
      <c r="AE76" s="222"/>
      <c r="AF76" s="123"/>
      <c r="AG76" s="123"/>
      <c r="AH76" s="123"/>
      <c r="AI76" s="123"/>
      <c r="AJ76" s="123"/>
      <c r="AK76" s="124"/>
      <c r="AL76" s="124"/>
      <c r="AM76" s="124"/>
      <c r="AN76" s="124"/>
      <c r="AO76" s="124"/>
      <c r="AP76" s="124"/>
      <c r="AQ76" s="124"/>
      <c r="AR76" s="124"/>
      <c r="AS76" s="124"/>
      <c r="AT76" s="124"/>
      <c r="AU76" s="124"/>
      <c r="AV76" s="124"/>
      <c r="AW76" s="124"/>
      <c r="AX76" s="124"/>
      <c r="AY76" s="124"/>
      <c r="AZ76" s="7"/>
      <c r="BA76" s="126"/>
      <c r="BB76" s="126"/>
      <c r="BC76" s="126"/>
      <c r="BD76" s="126"/>
      <c r="BE76" s="126"/>
      <c r="BF76" s="126"/>
      <c r="BG76" s="126"/>
      <c r="BH76" s="126"/>
      <c r="BI76" s="126"/>
      <c r="BJ76" s="314"/>
    </row>
    <row r="77" spans="1:62" ht="13.5" x14ac:dyDescent="0.25">
      <c r="A77" s="314"/>
      <c r="B77" s="83"/>
      <c r="C77" s="53"/>
      <c r="D77" s="53"/>
      <c r="E77" s="53"/>
      <c r="F77" s="53"/>
      <c r="G77" s="53"/>
      <c r="H77" s="83"/>
      <c r="I77" s="53"/>
      <c r="J77" s="128"/>
      <c r="K77" s="128"/>
      <c r="L77" s="130"/>
      <c r="M77" s="53"/>
      <c r="N77" s="53"/>
      <c r="O77" s="116"/>
      <c r="P77" s="116"/>
      <c r="Q77" s="116"/>
      <c r="R77" s="116"/>
      <c r="S77" s="116"/>
      <c r="T77" s="116"/>
      <c r="U77" s="219"/>
      <c r="V77" s="220"/>
      <c r="W77" s="221"/>
      <c r="X77" s="222"/>
      <c r="Y77" s="222"/>
      <c r="Z77" s="222"/>
      <c r="AA77" s="222"/>
      <c r="AB77" s="222"/>
      <c r="AC77" s="222"/>
      <c r="AD77" s="222"/>
      <c r="AE77" s="222"/>
      <c r="AF77" s="123"/>
      <c r="AG77" s="123"/>
      <c r="AH77" s="123"/>
      <c r="AI77" s="123"/>
      <c r="AJ77" s="123"/>
      <c r="AK77" s="124"/>
      <c r="AL77" s="124"/>
      <c r="AM77" s="124"/>
      <c r="AN77" s="124"/>
      <c r="AO77" s="124"/>
      <c r="AP77" s="124"/>
      <c r="AQ77" s="124"/>
      <c r="AR77" s="124"/>
      <c r="AS77" s="124"/>
      <c r="AT77" s="124"/>
      <c r="AU77" s="124"/>
      <c r="AV77" s="124"/>
      <c r="AW77" s="124"/>
      <c r="AX77" s="124"/>
      <c r="AY77" s="124"/>
      <c r="AZ77" s="7"/>
      <c r="BA77" s="126"/>
      <c r="BB77" s="126"/>
      <c r="BC77" s="126"/>
      <c r="BD77" s="126"/>
      <c r="BE77" s="126"/>
      <c r="BF77" s="126"/>
      <c r="BG77" s="126"/>
      <c r="BH77" s="126"/>
      <c r="BI77" s="126"/>
      <c r="BJ77" s="314"/>
    </row>
    <row r="78" spans="1:62" ht="13.5" x14ac:dyDescent="0.25">
      <c r="A78" s="314"/>
      <c r="B78" s="131" t="str">
        <f>CONCATENATE("CONVERTER BENEFITS - ON ",AB23,N22," BUSINESS")</f>
        <v>CONVERTER BENEFITS - ON 7.9KT BUSINESS</v>
      </c>
      <c r="C78" s="53"/>
      <c r="D78" s="53"/>
      <c r="E78" s="53"/>
      <c r="F78" s="53"/>
      <c r="G78" s="53"/>
      <c r="H78" s="83"/>
      <c r="I78" s="53"/>
      <c r="J78" s="128"/>
      <c r="K78" s="128"/>
      <c r="L78" s="53"/>
      <c r="O78" s="116"/>
      <c r="P78" s="116"/>
      <c r="Q78" s="116"/>
      <c r="R78" s="116"/>
      <c r="S78" s="116"/>
      <c r="T78" s="116"/>
      <c r="U78" s="219"/>
      <c r="V78" s="220"/>
      <c r="W78" s="221"/>
      <c r="X78" s="222"/>
      <c r="Y78" s="222"/>
      <c r="Z78" s="222"/>
      <c r="AA78" s="222"/>
      <c r="AB78" s="222"/>
      <c r="AC78" s="222"/>
      <c r="AD78" s="222"/>
      <c r="AE78" s="222"/>
      <c r="AF78" s="123"/>
      <c r="AG78" s="123"/>
      <c r="AH78" s="123"/>
      <c r="AI78" s="123"/>
      <c r="AJ78" s="123"/>
      <c r="AK78" s="124"/>
      <c r="AL78" s="124"/>
      <c r="AM78" s="124"/>
      <c r="AN78" s="124"/>
      <c r="AO78" s="124"/>
      <c r="AP78" s="124"/>
      <c r="AQ78" s="124"/>
      <c r="AR78" s="124"/>
      <c r="AS78" s="124"/>
      <c r="AT78" s="124"/>
      <c r="AU78" s="124"/>
      <c r="AV78" s="124"/>
      <c r="AW78" s="124"/>
      <c r="AX78" s="124"/>
      <c r="AY78" s="124"/>
      <c r="AZ78" s="7"/>
      <c r="BA78" s="126"/>
      <c r="BB78" s="126"/>
      <c r="BC78" s="126"/>
      <c r="BD78" s="126"/>
      <c r="BE78" s="126"/>
      <c r="BF78" s="126"/>
      <c r="BG78" s="126"/>
      <c r="BH78" s="126"/>
      <c r="BI78" s="126"/>
      <c r="BJ78" s="314"/>
    </row>
    <row r="79" spans="1:62" ht="13.5" x14ac:dyDescent="0.25">
      <c r="A79" s="314"/>
      <c r="B79" s="53" t="s">
        <v>57</v>
      </c>
      <c r="C79" s="53"/>
      <c r="D79" s="53"/>
      <c r="E79" s="162">
        <f>(AB23*L76)/(M22*J60)-1</f>
        <v>0.1016610769230768</v>
      </c>
      <c r="F79" s="168" t="str">
        <f>IF(L79&lt;&gt;0,IF(L79&lt;0,"DECREASE","INCREASE"),"UNCHANGED")</f>
        <v>INCREASE</v>
      </c>
      <c r="G79" s="12"/>
      <c r="H79" s="83"/>
      <c r="I79" s="53"/>
      <c r="J79" s="128"/>
      <c r="K79" s="132" t="str">
        <f>CONCATENATE("( ",ROUND(AJ45,2),N22," + ",ROUND((AB23-AJ45),2),N22," ) * ",ROUND(L76,2),X44," - ",ROUND(Z45,2),N22," * ",ROUND(J60,2),X44," =")</f>
        <v>( 7.53KT + 0.37KT ) * 1812.86$/TON - 10KT * 1300$/TON =</v>
      </c>
      <c r="L79" s="133">
        <f>ROUND((AB23*L76-M22*J60)/LOOKUP(1,J28:J30,L28:L30),3)</f>
        <v>1.3220000000000001</v>
      </c>
      <c r="M79" s="158" t="str">
        <f>CONCATENATE(LOOKUP(1,J28:J30,M28:M30)," pa")</f>
        <v>M$ pa</v>
      </c>
      <c r="N79" s="161" t="str">
        <f>IF(L79&lt;&gt;0,IF(L79&lt;0,"LOSS","GAIN"),"")</f>
        <v>GAIN</v>
      </c>
      <c r="O79" s="116"/>
      <c r="P79" s="116"/>
      <c r="Q79" s="116"/>
      <c r="R79" s="116"/>
      <c r="S79" s="116"/>
      <c r="T79" s="116"/>
      <c r="U79" s="219"/>
      <c r="V79" s="220"/>
      <c r="W79" s="221"/>
      <c r="X79" s="222"/>
      <c r="Y79" s="222"/>
      <c r="Z79" s="222"/>
      <c r="AA79" s="222"/>
      <c r="AB79" s="222"/>
      <c r="AC79" s="222"/>
      <c r="AD79" s="222"/>
      <c r="AE79" s="222"/>
      <c r="AF79" s="123"/>
      <c r="AG79" s="123"/>
      <c r="AH79" s="123"/>
      <c r="AI79" s="123"/>
      <c r="AJ79" s="123"/>
      <c r="AK79" s="124"/>
      <c r="AL79" s="124"/>
      <c r="AM79" s="124"/>
      <c r="AN79" s="124"/>
      <c r="AO79" s="124"/>
      <c r="AP79" s="124"/>
      <c r="AQ79" s="124"/>
      <c r="AR79" s="124"/>
      <c r="AS79" s="124"/>
      <c r="AT79" s="124"/>
      <c r="AU79" s="124"/>
      <c r="AV79" s="124"/>
      <c r="AW79" s="124"/>
      <c r="AX79" s="124"/>
      <c r="AY79" s="124"/>
      <c r="AZ79" s="7"/>
      <c r="BA79" s="126"/>
      <c r="BB79" s="126"/>
      <c r="BC79" s="126"/>
      <c r="BD79" s="126"/>
      <c r="BE79" s="126"/>
      <c r="BF79" s="126"/>
      <c r="BG79" s="126"/>
      <c r="BH79" s="126"/>
      <c r="BI79" s="126"/>
      <c r="BJ79" s="314"/>
    </row>
    <row r="80" spans="1:62" ht="13.5" x14ac:dyDescent="0.25">
      <c r="A80" s="314"/>
      <c r="B80" s="53" t="s">
        <v>55</v>
      </c>
      <c r="C80" s="53"/>
      <c r="D80" s="53"/>
      <c r="E80" s="162">
        <f>(AB23*AB44)/(M22*Z44)-1</f>
        <v>-0.1287601122508224</v>
      </c>
      <c r="F80" s="168" t="str">
        <f>IF(L80&lt;&gt;0,IF(L80&lt;0,"INCREASE","DECREASE"),"UNCHANGED")</f>
        <v>DECREASE</v>
      </c>
      <c r="G80" s="12"/>
      <c r="H80" s="83"/>
      <c r="I80" s="53"/>
      <c r="J80" s="128"/>
      <c r="K80" s="132" t="str">
        <f>CONCATENATE(ROUND(Z45,2),N22," * ",ROUND(Z44,2),X44," - ","( ",ROUND(AJ45,2),N22," + ",ROUND((AB23-AJ45),2),N22," ) * ",ROUND(AB44,2),X44," =")</f>
        <v>10KT * 1033.4$/TON - ( 7.53KT + 0.37KT ) * 1139.67$/TON =</v>
      </c>
      <c r="L80" s="134">
        <f>ROUND((M22*Z44-AB23*AB44)/LOOKUP(1,J28:J30,L28:L30),3)</f>
        <v>1.331</v>
      </c>
      <c r="M80" s="158" t="str">
        <f>CONCATENATE(LOOKUP(1,J28:J30,M28:M30)," pa")</f>
        <v>M$ pa</v>
      </c>
      <c r="N80" s="161" t="str">
        <f>IF(L80&lt;&gt;0,IF(L80&lt;0,"LOSS","GAIN"),"")</f>
        <v>GAIN</v>
      </c>
      <c r="O80" s="116"/>
      <c r="P80" s="116"/>
      <c r="Q80" s="116"/>
      <c r="R80" s="116"/>
      <c r="S80" s="116"/>
      <c r="T80" s="116"/>
      <c r="U80" s="219"/>
      <c r="V80" s="220"/>
      <c r="W80" s="221"/>
      <c r="X80" s="222"/>
      <c r="Y80" s="222"/>
      <c r="Z80" s="222"/>
      <c r="AA80" s="222"/>
      <c r="AB80" s="222"/>
      <c r="AC80" s="222"/>
      <c r="AD80" s="222"/>
      <c r="AE80" s="222"/>
      <c r="AF80" s="123"/>
      <c r="AG80" s="123"/>
      <c r="AH80" s="123"/>
      <c r="AI80" s="123"/>
      <c r="AJ80" s="123"/>
      <c r="AK80" s="124"/>
      <c r="AL80" s="124"/>
      <c r="AM80" s="124"/>
      <c r="AN80" s="124"/>
      <c r="AO80" s="124"/>
      <c r="AP80" s="124"/>
      <c r="AQ80" s="124"/>
      <c r="AR80" s="124"/>
      <c r="AS80" s="124"/>
      <c r="AT80" s="124"/>
      <c r="AU80" s="124"/>
      <c r="AV80" s="124"/>
      <c r="AW80" s="124"/>
      <c r="AX80" s="124"/>
      <c r="AY80" s="124"/>
      <c r="AZ80" s="7"/>
      <c r="BA80" s="126"/>
      <c r="BB80" s="126"/>
      <c r="BC80" s="126"/>
      <c r="BD80" s="126"/>
      <c r="BE80" s="126"/>
      <c r="BF80" s="126"/>
      <c r="BG80" s="126"/>
      <c r="BH80" s="126"/>
      <c r="BI80" s="126"/>
      <c r="BJ80" s="314"/>
    </row>
    <row r="81" spans="1:62" ht="13.5" x14ac:dyDescent="0.25">
      <c r="A81" s="314"/>
      <c r="B81" s="53" t="s">
        <v>56</v>
      </c>
      <c r="C81" s="53"/>
      <c r="D81" s="53"/>
      <c r="E81" s="162">
        <f>IF(M26&lt;&gt;0,(AB23*AB44)/(M22*Z44)-1,"")</f>
        <v>-0.1287601122508224</v>
      </c>
      <c r="F81" s="168" t="str">
        <f>IF(L81&lt;&gt;0,IF(L81&lt;0,"INCREASE","DECREASE"),"UNCHANGED")</f>
        <v>DECREASE</v>
      </c>
      <c r="G81" s="12"/>
      <c r="H81" s="83"/>
      <c r="I81" s="53"/>
      <c r="J81" s="128"/>
      <c r="K81" s="132" t="str">
        <f>CONCATENATE(M26,"/365 * [",ROUND(Z45,2),N22,"*",ROUND(Z44,2),X44,"-","(",ROUND(AJ45,2),N22,"+",ROUND((AB23-AJ45),2),N22,")*",ROUND(AB44,2),X44,"] =")</f>
        <v>31/365 * [10KT*1033.4$/TON-(7.53KT+0.37KT)*1139.67$/TON] =</v>
      </c>
      <c r="L81" s="134">
        <f>ROUND(M26/365*(L80),10)</f>
        <v>0.1130438356</v>
      </c>
      <c r="M81" s="158" t="str">
        <f>CONCATENATE(LOOKUP(1,J28:J30,M28:M30)," pa")</f>
        <v>M$ pa</v>
      </c>
      <c r="N81" s="161" t="str">
        <f>IF(L81&lt;&gt;0,IF(L81&lt;0,"LOSS","GAIN"),"")</f>
        <v>GAIN</v>
      </c>
      <c r="O81" s="116"/>
      <c r="P81" s="116"/>
      <c r="Q81" s="116"/>
      <c r="R81" s="116"/>
      <c r="S81" s="116"/>
      <c r="T81" s="116"/>
      <c r="U81" s="219"/>
      <c r="V81" s="220"/>
      <c r="W81" s="221"/>
      <c r="X81" s="222"/>
      <c r="Y81" s="222"/>
      <c r="Z81" s="222"/>
      <c r="AA81" s="222"/>
      <c r="AB81" s="222"/>
      <c r="AC81" s="222"/>
      <c r="AD81" s="222"/>
      <c r="AE81" s="222"/>
      <c r="AF81" s="123"/>
      <c r="AG81" s="123"/>
      <c r="AH81" s="123"/>
      <c r="AI81" s="123"/>
      <c r="AJ81" s="123"/>
      <c r="AK81" s="124"/>
      <c r="AL81" s="124"/>
      <c r="AM81" s="124"/>
      <c r="AN81" s="124"/>
      <c r="AO81" s="124"/>
      <c r="AP81" s="124"/>
      <c r="AQ81" s="124"/>
      <c r="AR81" s="124"/>
      <c r="AS81" s="124"/>
      <c r="AT81" s="124"/>
      <c r="AU81" s="124"/>
      <c r="AV81" s="124"/>
      <c r="AW81" s="124"/>
      <c r="AX81" s="124"/>
      <c r="AY81" s="124"/>
      <c r="AZ81" s="7"/>
      <c r="BA81" s="126"/>
      <c r="BB81" s="126"/>
      <c r="BC81" s="126"/>
      <c r="BD81" s="126"/>
      <c r="BE81" s="126"/>
      <c r="BF81" s="126"/>
      <c r="BG81" s="126"/>
      <c r="BH81" s="126"/>
      <c r="BI81" s="126"/>
      <c r="BJ81" s="314"/>
    </row>
    <row r="82" spans="1:62" ht="13.5" x14ac:dyDescent="0.25">
      <c r="A82" s="314"/>
      <c r="B82" s="130" t="s">
        <v>60</v>
      </c>
      <c r="C82" s="53"/>
      <c r="D82" s="130"/>
      <c r="E82" s="163">
        <f>AB23/M22-1</f>
        <v>-0.20999999999999996</v>
      </c>
      <c r="F82" s="168" t="str">
        <f>IF(L82&lt;&gt;0,IF(L82&lt;0,"INCREASE","DECREASE"),"UNCHANGED")</f>
        <v>DECREASE</v>
      </c>
      <c r="G82" s="12"/>
      <c r="H82" s="83"/>
      <c r="I82" s="53"/>
      <c r="J82" s="128"/>
      <c r="K82" s="132" t="str">
        <f>CONCATENATE(M27,N27," * ( ",M22,N22," - ",AB23,N22," ) =")</f>
        <v>50$/TON * ( 10KT - 7.9KT ) =</v>
      </c>
      <c r="L82" s="122">
        <f>ROUND((M22-AB23)*M27/LOOKUP(1,J28:J30,L28:L30),3)</f>
        <v>0.105</v>
      </c>
      <c r="M82" s="159" t="str">
        <f>CONCATENATE(LOOKUP(1,J28:J30,M28:M30)," pa")</f>
        <v>M$ pa</v>
      </c>
      <c r="N82" s="161" t="str">
        <f>IF(L82&lt;&gt;0,IF(L82&lt;0,"LOSS","GAIN"),"")</f>
        <v>GAIN</v>
      </c>
      <c r="O82" s="116"/>
      <c r="P82" s="116"/>
      <c r="Q82" s="116"/>
      <c r="R82" s="116"/>
      <c r="S82" s="116"/>
      <c r="T82" s="116"/>
      <c r="U82" s="219"/>
      <c r="V82" s="220"/>
      <c r="W82" s="221"/>
      <c r="X82" s="222"/>
      <c r="Y82" s="222"/>
      <c r="Z82" s="222"/>
      <c r="AA82" s="222"/>
      <c r="AB82" s="222"/>
      <c r="AC82" s="222"/>
      <c r="AD82" s="222"/>
      <c r="AE82" s="222"/>
      <c r="AF82" s="123"/>
      <c r="AG82" s="123"/>
      <c r="AH82" s="123"/>
      <c r="AI82" s="123"/>
      <c r="AJ82" s="123"/>
      <c r="AK82" s="124"/>
      <c r="AL82" s="124"/>
      <c r="AM82" s="124"/>
      <c r="AN82" s="124"/>
      <c r="AO82" s="124"/>
      <c r="AP82" s="124"/>
      <c r="AQ82" s="124"/>
      <c r="AR82" s="124"/>
      <c r="AS82" s="124"/>
      <c r="AT82" s="124"/>
      <c r="AU82" s="124"/>
      <c r="AV82" s="124"/>
      <c r="AW82" s="124"/>
      <c r="AX82" s="124"/>
      <c r="AY82" s="124"/>
      <c r="AZ82" s="7"/>
      <c r="BA82" s="126"/>
      <c r="BB82" s="126"/>
      <c r="BC82" s="126"/>
      <c r="BD82" s="126"/>
      <c r="BE82" s="126"/>
      <c r="BF82" s="126"/>
      <c r="BG82" s="126"/>
      <c r="BH82" s="126"/>
      <c r="BI82" s="126"/>
      <c r="BJ82" s="314"/>
    </row>
    <row r="83" spans="1:62" ht="13.5" x14ac:dyDescent="0.25">
      <c r="A83" s="314"/>
      <c r="B83" s="117"/>
      <c r="C83" s="53"/>
      <c r="D83" s="117"/>
      <c r="E83" s="162"/>
      <c r="F83" s="158"/>
      <c r="G83" s="12"/>
      <c r="H83" s="83"/>
      <c r="I83" s="53"/>
      <c r="J83" s="130"/>
      <c r="K83" s="117" t="s">
        <v>77</v>
      </c>
      <c r="L83" s="134">
        <f>SUM(L79:L82)</f>
        <v>2.8710438356000001</v>
      </c>
      <c r="M83" s="158" t="str">
        <f>CONCATENATE(LOOKUP(1,J28:J30,M28:M30)," pa")</f>
        <v>M$ pa</v>
      </c>
      <c r="N83" s="162" t="str">
        <f>IF(L83&lt;&gt;0,IF(L83&lt;0,"LOSS","GAIN"),"")</f>
        <v>GAIN</v>
      </c>
      <c r="O83" s="116"/>
      <c r="P83" s="116"/>
      <c r="Q83" s="116"/>
      <c r="R83" s="116"/>
      <c r="S83" s="116"/>
      <c r="T83" s="116"/>
      <c r="U83" s="219"/>
      <c r="V83" s="220"/>
      <c r="W83" s="221"/>
      <c r="X83" s="222"/>
      <c r="Y83" s="222"/>
      <c r="Z83" s="222"/>
      <c r="AA83" s="222"/>
      <c r="AB83" s="222"/>
      <c r="AC83" s="222"/>
      <c r="AD83" s="222"/>
      <c r="AE83" s="222"/>
      <c r="AF83" s="123"/>
      <c r="AG83" s="123"/>
      <c r="AH83" s="123"/>
      <c r="AI83" s="123"/>
      <c r="AJ83" s="123"/>
      <c r="AK83" s="124"/>
      <c r="AL83" s="124"/>
      <c r="AM83" s="124"/>
      <c r="AN83" s="124"/>
      <c r="AO83" s="124"/>
      <c r="AP83" s="124"/>
      <c r="AQ83" s="124"/>
      <c r="AR83" s="124"/>
      <c r="AS83" s="124"/>
      <c r="AT83" s="124"/>
      <c r="AU83" s="124"/>
      <c r="AV83" s="124"/>
      <c r="AW83" s="124"/>
      <c r="AX83" s="124"/>
      <c r="AY83" s="124"/>
      <c r="AZ83" s="7"/>
      <c r="BA83" s="126"/>
      <c r="BB83" s="126"/>
      <c r="BC83" s="126"/>
      <c r="BD83" s="126"/>
      <c r="BE83" s="126"/>
      <c r="BF83" s="126"/>
      <c r="BG83" s="126"/>
      <c r="BH83" s="126"/>
      <c r="BI83" s="126"/>
      <c r="BJ83" s="314"/>
    </row>
    <row r="84" spans="1:62" ht="13.5" x14ac:dyDescent="0.25">
      <c r="A84" s="314"/>
      <c r="B84" s="130"/>
      <c r="C84" s="53"/>
      <c r="D84" s="130"/>
      <c r="E84" s="130"/>
      <c r="F84" s="130"/>
      <c r="G84" s="12"/>
      <c r="H84" s="83"/>
      <c r="I84" s="53"/>
      <c r="J84" s="128"/>
      <c r="K84" s="128"/>
      <c r="L84" s="130"/>
      <c r="M84" s="159"/>
      <c r="N84" s="160"/>
      <c r="O84" s="116"/>
      <c r="P84" s="116"/>
      <c r="Q84" s="116"/>
      <c r="R84" s="116"/>
      <c r="S84" s="116"/>
      <c r="T84" s="116"/>
      <c r="U84" s="219"/>
      <c r="V84" s="220"/>
      <c r="W84" s="221"/>
      <c r="X84" s="222"/>
      <c r="Y84" s="222"/>
      <c r="Z84" s="222"/>
      <c r="AA84" s="222"/>
      <c r="AB84" s="222"/>
      <c r="AC84" s="222"/>
      <c r="AD84" s="222"/>
      <c r="AE84" s="222"/>
      <c r="AF84" s="123"/>
      <c r="AG84" s="123"/>
      <c r="AH84" s="123"/>
      <c r="AI84" s="123"/>
      <c r="AJ84" s="123"/>
      <c r="AK84" s="124"/>
      <c r="AL84" s="124"/>
      <c r="AM84" s="124"/>
      <c r="AN84" s="124"/>
      <c r="AO84" s="124"/>
      <c r="AP84" s="124"/>
      <c r="AQ84" s="124"/>
      <c r="AR84" s="124"/>
      <c r="AS84" s="124"/>
      <c r="AT84" s="124"/>
      <c r="AU84" s="124"/>
      <c r="AV84" s="124"/>
      <c r="AW84" s="124"/>
      <c r="AX84" s="124"/>
      <c r="AY84" s="124"/>
      <c r="AZ84" s="7"/>
      <c r="BA84" s="126"/>
      <c r="BB84" s="126"/>
      <c r="BC84" s="126"/>
      <c r="BD84" s="126"/>
      <c r="BE84" s="126"/>
      <c r="BF84" s="126"/>
      <c r="BG84" s="126"/>
      <c r="BH84" s="126"/>
      <c r="BI84" s="126"/>
      <c r="BJ84" s="314"/>
    </row>
    <row r="85" spans="1:62" ht="13.5" x14ac:dyDescent="0.25">
      <c r="A85" s="314"/>
      <c r="B85" s="136" t="str">
        <f>CONCATENATE("DOWNSTREAM PLAYERS BENEFITS - BUYING SAME ",LOOKUP(BA6,BC9:BC32,BG9:BG32))</f>
        <v>DOWNSTREAM PLAYERS BENEFITS - BUYING SAME sq m</v>
      </c>
      <c r="C85" s="53"/>
      <c r="D85" s="137"/>
      <c r="E85" s="137"/>
      <c r="F85" s="137"/>
      <c r="G85" s="12"/>
      <c r="H85" s="83"/>
      <c r="I85" s="53"/>
      <c r="J85" s="128"/>
      <c r="K85" s="137"/>
      <c r="L85" s="137"/>
      <c r="M85" s="130"/>
      <c r="N85" s="159"/>
      <c r="O85" s="116"/>
      <c r="P85" s="116"/>
      <c r="Q85" s="116"/>
      <c r="R85" s="116"/>
      <c r="S85" s="116"/>
      <c r="T85" s="116"/>
      <c r="U85" s="219"/>
      <c r="V85" s="220"/>
      <c r="W85" s="221"/>
      <c r="X85" s="222"/>
      <c r="Y85" s="222"/>
      <c r="Z85" s="222"/>
      <c r="AA85" s="222"/>
      <c r="AB85" s="222"/>
      <c r="AC85" s="222"/>
      <c r="AD85" s="222"/>
      <c r="AE85" s="222"/>
      <c r="AF85" s="123"/>
      <c r="AG85" s="123"/>
      <c r="AH85" s="123"/>
      <c r="AI85" s="123"/>
      <c r="AJ85" s="123"/>
      <c r="AK85" s="124"/>
      <c r="AL85" s="124"/>
      <c r="AM85" s="124"/>
      <c r="AN85" s="124"/>
      <c r="AO85" s="124"/>
      <c r="AP85" s="124"/>
      <c r="AQ85" s="124"/>
      <c r="AR85" s="124"/>
      <c r="AS85" s="124"/>
      <c r="AT85" s="124"/>
      <c r="AU85" s="124"/>
      <c r="AV85" s="124"/>
      <c r="AW85" s="124"/>
      <c r="AX85" s="124"/>
      <c r="AY85" s="124"/>
      <c r="AZ85" s="7"/>
      <c r="BA85" s="126"/>
      <c r="BB85" s="126"/>
      <c r="BC85" s="126"/>
      <c r="BD85" s="126"/>
      <c r="BE85" s="126"/>
      <c r="BF85" s="126"/>
      <c r="BG85" s="126"/>
      <c r="BH85" s="126"/>
      <c r="BI85" s="126"/>
      <c r="BJ85" s="314"/>
    </row>
    <row r="86" spans="1:62" ht="13.5" x14ac:dyDescent="0.25">
      <c r="A86" s="314"/>
      <c r="B86" s="130" t="s">
        <v>76</v>
      </c>
      <c r="C86" s="53"/>
      <c r="D86" s="130"/>
      <c r="E86" s="163">
        <f>(L76*AJ45)/(J60*Z45)-1</f>
        <v>5.0002088082634621E-2</v>
      </c>
      <c r="F86" s="168" t="str">
        <f>IF(L86&lt;&gt;0,IF(L86&lt;0,"INCREASE","DECREASE"),"UNCHANGED")</f>
        <v>INCREASE</v>
      </c>
      <c r="G86" s="12"/>
      <c r="H86" s="83"/>
      <c r="I86" s="53"/>
      <c r="J86" s="128"/>
      <c r="K86" s="240" t="str">
        <f>CONCATENATE(ROUND(J60,2),N22," * ",ROUND(Z45,2),N22," - ",ROUND(L76,2),N75," * ",ROUND(AJ45,2),N22," =")</f>
        <v>1300KT * 10KT - 1812.86 * 7.53KT =</v>
      </c>
      <c r="L86" s="122">
        <f>ROUND((J60*Z45-L76*AJ45)/LOOKUP(1,J28:J30,L28:L30),3)</f>
        <v>-0.65</v>
      </c>
      <c r="M86" s="159" t="str">
        <f>CONCATENATE(LOOKUP(1,J28:J30,M28:M30)," pa")</f>
        <v>M$ pa</v>
      </c>
      <c r="N86" s="161" t="str">
        <f>IF(L86&lt;&gt;0,IF(L86&lt;0,"LOSS","GAIN"),"")</f>
        <v>LOSS</v>
      </c>
      <c r="O86" s="116"/>
      <c r="P86" s="116"/>
      <c r="Q86" s="116"/>
      <c r="R86" s="116"/>
      <c r="S86" s="116"/>
      <c r="T86" s="116"/>
      <c r="U86" s="219"/>
      <c r="V86" s="220"/>
      <c r="W86" s="221"/>
      <c r="X86" s="222"/>
      <c r="Y86" s="222"/>
      <c r="Z86" s="222"/>
      <c r="AA86" s="222"/>
      <c r="AB86" s="222"/>
      <c r="AC86" s="222"/>
      <c r="AD86" s="222"/>
      <c r="AE86" s="222"/>
      <c r="AF86" s="123"/>
      <c r="AG86" s="123"/>
      <c r="AH86" s="123"/>
      <c r="AI86" s="123"/>
      <c r="AJ86" s="123"/>
      <c r="AK86" s="124"/>
      <c r="AL86" s="124"/>
      <c r="AM86" s="124"/>
      <c r="AN86" s="124"/>
      <c r="AO86" s="124"/>
      <c r="AP86" s="124"/>
      <c r="AQ86" s="124"/>
      <c r="AR86" s="124"/>
      <c r="AS86" s="124"/>
      <c r="AT86" s="124"/>
      <c r="AU86" s="124"/>
      <c r="AV86" s="124"/>
      <c r="AW86" s="124"/>
      <c r="AX86" s="124"/>
      <c r="AY86" s="124"/>
      <c r="AZ86" s="7"/>
      <c r="BA86" s="126"/>
      <c r="BB86" s="126"/>
      <c r="BC86" s="126"/>
      <c r="BD86" s="126"/>
      <c r="BE86" s="126"/>
      <c r="BF86" s="126"/>
      <c r="BG86" s="126"/>
      <c r="BH86" s="126"/>
      <c r="BI86" s="126"/>
      <c r="BJ86" s="314"/>
    </row>
    <row r="87" spans="1:62" ht="13.5" x14ac:dyDescent="0.25">
      <c r="A87" s="314"/>
      <c r="B87" s="130" t="s">
        <v>56</v>
      </c>
      <c r="C87" s="53"/>
      <c r="D87" s="130"/>
      <c r="E87" s="163">
        <f>IF(M26&lt;&gt;0,(L76*AJ45)/(J60*Z45)-1,"")</f>
        <v>5.0002088082634621E-2</v>
      </c>
      <c r="F87" s="168" t="str">
        <f>IF(L87&lt;&gt;0,IF(L87&lt;0,"INCREASE","DECREASE"),"UNCHANGED")</f>
        <v>INCREASE</v>
      </c>
      <c r="G87" s="12"/>
      <c r="H87" s="83"/>
      <c r="I87" s="53"/>
      <c r="J87" s="128"/>
      <c r="K87" s="240" t="str">
        <f>CONCATENATE(M26," / 365 * ( ",J60,N22," * ",ROUND(Z45,2),N22," - ",ROUND(L76,2),N75," * ",ROUND(AJ45,2),N22," ) =")</f>
        <v>31 / 365 * ( 1300KT * 10KT - 1812.86 * 7.53KT ) =</v>
      </c>
      <c r="L87" s="122">
        <f>(L86*M26/365)</f>
        <v>-5.5205479452054798E-2</v>
      </c>
      <c r="M87" s="159" t="str">
        <f>CONCATENATE(LOOKUP(1,J28:J30,M28:M30)," pa")</f>
        <v>M$ pa</v>
      </c>
      <c r="N87" s="161" t="str">
        <f>IF(L87&lt;&gt;0,IF(L87&lt;0,"LOSS","GAIN"),"")</f>
        <v>LOSS</v>
      </c>
      <c r="O87" s="116"/>
      <c r="P87" s="116"/>
      <c r="Q87" s="116"/>
      <c r="R87" s="116"/>
      <c r="S87" s="116"/>
      <c r="T87" s="116"/>
      <c r="U87" s="219"/>
      <c r="V87" s="220"/>
      <c r="W87" s="221"/>
      <c r="X87" s="222"/>
      <c r="Y87" s="222"/>
      <c r="Z87" s="222"/>
      <c r="AA87" s="222"/>
      <c r="AB87" s="222"/>
      <c r="AC87" s="222"/>
      <c r="AD87" s="222"/>
      <c r="AE87" s="222"/>
      <c r="AF87" s="123"/>
      <c r="AG87" s="123"/>
      <c r="AH87" s="123"/>
      <c r="AI87" s="123"/>
      <c r="AJ87" s="123"/>
      <c r="AK87" s="124"/>
      <c r="AL87" s="124"/>
      <c r="AM87" s="124"/>
      <c r="AN87" s="124"/>
      <c r="AO87" s="124"/>
      <c r="AP87" s="124"/>
      <c r="AQ87" s="124"/>
      <c r="AR87" s="124"/>
      <c r="AS87" s="124"/>
      <c r="AT87" s="124"/>
      <c r="AU87" s="124"/>
      <c r="AV87" s="124"/>
      <c r="AW87" s="124"/>
      <c r="AX87" s="124"/>
      <c r="AY87" s="124"/>
      <c r="AZ87" s="7"/>
      <c r="BA87" s="126"/>
      <c r="BB87" s="126"/>
      <c r="BC87" s="126"/>
      <c r="BD87" s="126"/>
      <c r="BE87" s="126"/>
      <c r="BF87" s="126"/>
      <c r="BG87" s="126"/>
      <c r="BH87" s="126"/>
      <c r="BI87" s="126"/>
      <c r="BJ87" s="314"/>
    </row>
    <row r="88" spans="1:62" ht="13.5" x14ac:dyDescent="0.25">
      <c r="A88" s="314"/>
      <c r="B88" s="137" t="str">
        <f>IF(AB27&lt;&gt;100%,"UNIT VALUE ADD","")</f>
        <v>UNIT VALUE ADD</v>
      </c>
      <c r="C88" s="53"/>
      <c r="D88" s="130"/>
      <c r="E88" s="163">
        <f>IF(AB27&lt;&gt;100%,(AB27-1),"")</f>
        <v>5.0000000000000044E-2</v>
      </c>
      <c r="F88" s="168" t="str">
        <f>IF(AB27&lt;&gt;100%,IF(L88&lt;&gt;0,IF(L88&lt;0,"DECREASE","INCREASE"),"UNCHANGED"),"")</f>
        <v>INCREASE</v>
      </c>
      <c r="G88" s="12"/>
      <c r="H88" s="83"/>
      <c r="I88" s="53"/>
      <c r="J88" s="128"/>
      <c r="K88" s="240" t="str">
        <f>IF(AB27&lt;&gt;100%,CONCATENATE("(",ROUND(AB27,2)*100,"% - ","100%) * ",ROUND(J60,2),X44," * ",ROUND(AJ45,2),AC23," ="),"")</f>
        <v>(105% - 100%) * 1300$/TON * 7.53KT =</v>
      </c>
      <c r="L88" s="122">
        <f>IF(AB27&lt;&gt;100%,ROUND(((AB27-1)*J60*AJ45)/LOOKUP(1,J28:J30,L28:L30),3),"")</f>
        <v>0.48899999999999999</v>
      </c>
      <c r="M88" s="159" t="str">
        <f>IF(AB27&lt;&gt;100%,CONCATENATE(LOOKUP(1,J28:J30,M28:M30)," pa"),"")</f>
        <v>M$ pa</v>
      </c>
      <c r="N88" s="161" t="str">
        <f>IF(AB27&lt;&gt;100%,IF(L88&lt;&gt;0,IF(L88&lt;0,"LOSS","GAIN"),""),"")</f>
        <v>GAIN</v>
      </c>
      <c r="O88" s="116"/>
      <c r="P88" s="116"/>
      <c r="Q88" s="116"/>
      <c r="R88" s="116"/>
      <c r="S88" s="116"/>
      <c r="T88" s="116"/>
      <c r="U88" s="219"/>
      <c r="V88" s="220"/>
      <c r="W88" s="221"/>
      <c r="X88" s="222"/>
      <c r="Y88" s="222"/>
      <c r="Z88" s="222"/>
      <c r="AA88" s="222"/>
      <c r="AB88" s="222"/>
      <c r="AC88" s="222"/>
      <c r="AD88" s="222"/>
      <c r="AE88" s="222"/>
      <c r="AF88" s="123"/>
      <c r="AG88" s="123"/>
      <c r="AH88" s="123"/>
      <c r="AI88" s="123"/>
      <c r="AJ88" s="123"/>
      <c r="AK88" s="124"/>
      <c r="AL88" s="124"/>
      <c r="AM88" s="124"/>
      <c r="AN88" s="124"/>
      <c r="AO88" s="124"/>
      <c r="AP88" s="124"/>
      <c r="AQ88" s="124"/>
      <c r="AR88" s="124"/>
      <c r="AS88" s="124"/>
      <c r="AT88" s="124"/>
      <c r="AU88" s="124"/>
      <c r="AV88" s="124"/>
      <c r="AW88" s="124"/>
      <c r="AX88" s="124"/>
      <c r="AY88" s="124"/>
      <c r="AZ88" s="7"/>
      <c r="BA88" s="126"/>
      <c r="BB88" s="126"/>
      <c r="BC88" s="126"/>
      <c r="BD88" s="126"/>
      <c r="BE88" s="126"/>
      <c r="BF88" s="126"/>
      <c r="BG88" s="126"/>
      <c r="BH88" s="126"/>
      <c r="BI88" s="126"/>
      <c r="BJ88" s="314"/>
    </row>
    <row r="89" spans="1:62" ht="13.5" x14ac:dyDescent="0.25">
      <c r="A89" s="314"/>
      <c r="B89" s="117"/>
      <c r="C89" s="53"/>
      <c r="D89" s="117"/>
      <c r="E89" s="163"/>
      <c r="F89" s="158"/>
      <c r="G89" s="12"/>
      <c r="H89" s="83"/>
      <c r="I89" s="53"/>
      <c r="J89" s="130"/>
      <c r="K89" s="117" t="s">
        <v>77</v>
      </c>
      <c r="L89" s="134">
        <f>SUM(L86:L88)</f>
        <v>-0.21620547945205482</v>
      </c>
      <c r="M89" s="158" t="str">
        <f>CONCATENATE(LOOKUP(1,J28:J30,M28:M30)," pa")</f>
        <v>M$ pa</v>
      </c>
      <c r="N89" s="162" t="str">
        <f>IF(L89&lt;&gt;0,IF(L89&lt;0,"LOSS","GAIN"),"")</f>
        <v>LOSS</v>
      </c>
      <c r="O89" s="116"/>
      <c r="P89" s="116"/>
      <c r="Q89" s="116"/>
      <c r="R89" s="116"/>
      <c r="S89" s="116"/>
      <c r="T89" s="116"/>
      <c r="U89" s="219"/>
      <c r="V89" s="220"/>
      <c r="W89" s="221"/>
      <c r="X89" s="222"/>
      <c r="Y89" s="222"/>
      <c r="Z89" s="222"/>
      <c r="AA89" s="222"/>
      <c r="AB89" s="222"/>
      <c r="AC89" s="222"/>
      <c r="AD89" s="222"/>
      <c r="AE89" s="222"/>
      <c r="AF89" s="123"/>
      <c r="AG89" s="123"/>
      <c r="AH89" s="123"/>
      <c r="AI89" s="123"/>
      <c r="AJ89" s="123"/>
      <c r="AK89" s="124"/>
      <c r="AL89" s="124"/>
      <c r="AM89" s="124"/>
      <c r="AN89" s="124"/>
      <c r="AO89" s="124"/>
      <c r="AP89" s="124"/>
      <c r="AQ89" s="124"/>
      <c r="AR89" s="124"/>
      <c r="AS89" s="124"/>
      <c r="AT89" s="124"/>
      <c r="AU89" s="124"/>
      <c r="AV89" s="124"/>
      <c r="AW89" s="124"/>
      <c r="AX89" s="124"/>
      <c r="AY89" s="124"/>
      <c r="AZ89" s="7"/>
      <c r="BA89" s="126"/>
      <c r="BB89" s="126"/>
      <c r="BC89" s="126"/>
      <c r="BD89" s="126"/>
      <c r="BE89" s="126"/>
      <c r="BF89" s="126"/>
      <c r="BG89" s="126"/>
      <c r="BH89" s="126"/>
      <c r="BI89" s="126"/>
      <c r="BJ89" s="314"/>
    </row>
    <row r="90" spans="1:62" ht="13.5" x14ac:dyDescent="0.25">
      <c r="A90" s="314"/>
      <c r="B90" s="130"/>
      <c r="C90" s="53"/>
      <c r="D90" s="130"/>
      <c r="E90" s="130"/>
      <c r="F90" s="130"/>
      <c r="G90" s="138"/>
      <c r="H90" s="83"/>
      <c r="I90" s="53"/>
      <c r="J90" s="128"/>
      <c r="K90" s="128"/>
      <c r="L90" s="122"/>
      <c r="M90" s="53"/>
      <c r="N90" s="53"/>
      <c r="O90" s="116"/>
      <c r="P90" s="116"/>
      <c r="Q90" s="116"/>
      <c r="R90" s="116"/>
      <c r="S90" s="116"/>
      <c r="T90" s="116"/>
      <c r="U90" s="219"/>
      <c r="V90" s="220"/>
      <c r="W90" s="221"/>
      <c r="X90" s="222"/>
      <c r="Y90" s="222"/>
      <c r="Z90" s="222"/>
      <c r="AA90" s="222"/>
      <c r="AB90" s="222"/>
      <c r="AC90" s="222"/>
      <c r="AD90" s="222"/>
      <c r="AE90" s="222"/>
      <c r="AF90" s="123"/>
      <c r="AG90" s="123"/>
      <c r="AH90" s="123"/>
      <c r="AI90" s="123"/>
      <c r="AJ90" s="123"/>
      <c r="AK90" s="124"/>
      <c r="AL90" s="124"/>
      <c r="AM90" s="124"/>
      <c r="AN90" s="124"/>
      <c r="AO90" s="124"/>
      <c r="AP90" s="124"/>
      <c r="AQ90" s="124"/>
      <c r="AR90" s="124"/>
      <c r="AS90" s="124"/>
      <c r="AT90" s="124"/>
      <c r="AU90" s="124"/>
      <c r="AV90" s="124"/>
      <c r="AW90" s="124"/>
      <c r="AX90" s="124"/>
      <c r="AY90" s="124"/>
      <c r="AZ90" s="7"/>
      <c r="BA90" s="126"/>
      <c r="BB90" s="126"/>
      <c r="BC90" s="126"/>
      <c r="BD90" s="126"/>
      <c r="BE90" s="126"/>
      <c r="BF90" s="126"/>
      <c r="BG90" s="126"/>
      <c r="BH90" s="126"/>
      <c r="BI90" s="126"/>
      <c r="BJ90" s="314"/>
    </row>
    <row r="91" spans="1:62" ht="3" customHeight="1" x14ac:dyDescent="0.25">
      <c r="A91" s="314"/>
      <c r="B91" s="116"/>
      <c r="C91" s="116"/>
      <c r="D91" s="116"/>
      <c r="E91" s="116"/>
      <c r="F91" s="140"/>
      <c r="G91" s="141"/>
      <c r="H91" s="141"/>
      <c r="I91" s="141"/>
      <c r="J91" s="127"/>
      <c r="K91" s="127"/>
      <c r="L91" s="116"/>
      <c r="M91" s="116"/>
      <c r="N91" s="116"/>
      <c r="O91" s="116"/>
      <c r="P91" s="116"/>
      <c r="Q91" s="116"/>
      <c r="R91" s="116"/>
      <c r="S91" s="116"/>
      <c r="T91" s="116"/>
      <c r="U91" s="219"/>
      <c r="V91" s="219"/>
      <c r="W91" s="219"/>
      <c r="X91" s="222"/>
      <c r="Y91" s="222"/>
      <c r="Z91" s="222"/>
      <c r="AA91" s="222"/>
      <c r="AB91" s="222"/>
      <c r="AC91" s="222"/>
      <c r="AD91" s="222"/>
      <c r="AE91" s="222"/>
      <c r="AF91" s="123"/>
      <c r="AG91" s="123"/>
      <c r="AH91" s="123"/>
      <c r="AI91" s="123"/>
      <c r="AJ91" s="123"/>
      <c r="AK91" s="124"/>
      <c r="AL91" s="124"/>
      <c r="AM91" s="124"/>
      <c r="AN91" s="124"/>
      <c r="AO91" s="124"/>
      <c r="AP91" s="124"/>
      <c r="AQ91" s="124"/>
      <c r="AR91" s="124"/>
      <c r="AS91" s="124"/>
      <c r="AT91" s="124"/>
      <c r="AU91" s="124"/>
      <c r="AV91" s="124"/>
      <c r="AW91" s="124"/>
      <c r="AX91" s="124"/>
      <c r="AY91" s="124"/>
      <c r="AZ91" s="7"/>
      <c r="BA91" s="126"/>
      <c r="BB91" s="126"/>
      <c r="BC91" s="126"/>
      <c r="BD91" s="126"/>
      <c r="BE91" s="126"/>
      <c r="BF91" s="126"/>
      <c r="BG91" s="126"/>
      <c r="BH91" s="126"/>
      <c r="BI91" s="126"/>
      <c r="BJ91" s="314"/>
    </row>
    <row r="92" spans="1:62" ht="13.5" x14ac:dyDescent="0.25">
      <c r="A92" s="314"/>
      <c r="B92" s="194" t="s">
        <v>69</v>
      </c>
      <c r="C92" s="117"/>
      <c r="D92" s="117"/>
      <c r="E92" s="118"/>
      <c r="F92" s="111"/>
      <c r="G92" s="111"/>
      <c r="H92" s="119"/>
      <c r="I92" s="120" t="s">
        <v>68</v>
      </c>
      <c r="J92" s="121">
        <f>AB24</f>
        <v>1610</v>
      </c>
      <c r="K92" s="120" t="str">
        <f>CONCATENATE(F8," =")</f>
        <v>$/TON =</v>
      </c>
      <c r="L92" s="121">
        <f>ROUND(L60+(J76-L60)*(J92-J60)/(L76-J60),3)</f>
        <v>45.140999999999998</v>
      </c>
      <c r="M92" s="235" t="str">
        <f>X41</f>
        <v>$ per 1000 sq m</v>
      </c>
      <c r="N92" s="235"/>
      <c r="O92" s="116"/>
      <c r="P92" s="116"/>
      <c r="Q92" s="116"/>
      <c r="R92" s="116"/>
      <c r="S92" s="116"/>
      <c r="T92" s="116"/>
      <c r="U92" s="219"/>
      <c r="V92" s="220"/>
      <c r="W92" s="221"/>
      <c r="X92" s="222"/>
      <c r="Y92" s="222"/>
      <c r="Z92" s="222"/>
      <c r="AA92" s="222"/>
      <c r="AB92" s="222"/>
      <c r="AC92" s="222"/>
      <c r="AD92" s="222"/>
      <c r="AE92" s="222"/>
      <c r="AF92" s="123"/>
      <c r="AG92" s="123"/>
      <c r="AH92" s="123"/>
      <c r="AI92" s="123"/>
      <c r="AJ92" s="123"/>
      <c r="AK92" s="124"/>
      <c r="AL92" s="124"/>
      <c r="AM92" s="124"/>
      <c r="AN92" s="124"/>
      <c r="AO92" s="124"/>
      <c r="AP92" s="124"/>
      <c r="AQ92" s="124"/>
      <c r="AR92" s="124"/>
      <c r="AS92" s="124"/>
      <c r="AT92" s="124"/>
      <c r="AU92" s="124"/>
      <c r="AV92" s="124"/>
      <c r="AW92" s="124"/>
      <c r="AX92" s="124"/>
      <c r="AY92" s="124"/>
      <c r="AZ92" s="7"/>
      <c r="BA92" s="126"/>
      <c r="BB92" s="126"/>
      <c r="BC92" s="126"/>
      <c r="BD92" s="126"/>
      <c r="BE92" s="126"/>
      <c r="BF92" s="126"/>
      <c r="BG92" s="126"/>
      <c r="BH92" s="126"/>
      <c r="BI92" s="126"/>
      <c r="BJ92" s="314"/>
    </row>
    <row r="93" spans="1:62" ht="13.5" x14ac:dyDescent="0.25">
      <c r="A93" s="314"/>
      <c r="B93" s="130"/>
      <c r="C93" s="53"/>
      <c r="D93" s="130"/>
      <c r="E93" s="130"/>
      <c r="F93" s="130"/>
      <c r="G93" s="130"/>
      <c r="H93" s="130"/>
      <c r="I93" s="130"/>
      <c r="J93" s="128"/>
      <c r="K93" s="128"/>
      <c r="L93" s="130"/>
      <c r="M93" s="130"/>
      <c r="N93" s="130"/>
      <c r="O93" s="116"/>
      <c r="P93" s="116"/>
      <c r="Q93" s="116"/>
      <c r="R93" s="116"/>
      <c r="S93" s="116"/>
      <c r="T93" s="116"/>
      <c r="U93" s="219"/>
      <c r="V93" s="220"/>
      <c r="W93" s="221"/>
      <c r="X93" s="222"/>
      <c r="Y93" s="222"/>
      <c r="Z93" s="222"/>
      <c r="AA93" s="222"/>
      <c r="AB93" s="222"/>
      <c r="AC93" s="222"/>
      <c r="AD93" s="222"/>
      <c r="AE93" s="222"/>
      <c r="AF93" s="123"/>
      <c r="AG93" s="123"/>
      <c r="AH93" s="123"/>
      <c r="AI93" s="123"/>
      <c r="AJ93" s="123"/>
      <c r="AK93" s="124"/>
      <c r="AL93" s="124"/>
      <c r="AM93" s="124"/>
      <c r="AN93" s="124"/>
      <c r="AO93" s="124"/>
      <c r="AP93" s="124"/>
      <c r="AQ93" s="124"/>
      <c r="AR93" s="124"/>
      <c r="AS93" s="124"/>
      <c r="AT93" s="124"/>
      <c r="AU93" s="124"/>
      <c r="AV93" s="124"/>
      <c r="AW93" s="124"/>
      <c r="AX93" s="124"/>
      <c r="AY93" s="124"/>
      <c r="AZ93" s="7"/>
      <c r="BA93" s="126"/>
      <c r="BB93" s="126"/>
      <c r="BC93" s="126"/>
      <c r="BD93" s="126"/>
      <c r="BE93" s="126"/>
      <c r="BF93" s="126"/>
      <c r="BG93" s="126"/>
      <c r="BH93" s="126"/>
      <c r="BI93" s="126"/>
      <c r="BJ93" s="314"/>
    </row>
    <row r="94" spans="1:62" ht="13.5" x14ac:dyDescent="0.25">
      <c r="A94" s="314"/>
      <c r="B94" s="142" t="str">
        <f>CONCATENATE("CONVERTER BENEFITS - ON ",AB23,N22," BUSINESS")</f>
        <v>CONVERTER BENEFITS - ON 7.9KT BUSINESS</v>
      </c>
      <c r="C94" s="53"/>
      <c r="D94" s="130"/>
      <c r="E94" s="130"/>
      <c r="F94" s="130"/>
      <c r="G94" s="130"/>
      <c r="H94" s="130"/>
      <c r="I94" s="130"/>
      <c r="J94" s="128"/>
      <c r="K94" s="130"/>
      <c r="L94" s="130"/>
      <c r="O94" s="116"/>
      <c r="P94" s="116"/>
      <c r="Q94" s="116"/>
      <c r="R94" s="116"/>
      <c r="S94" s="116"/>
      <c r="T94" s="116"/>
      <c r="U94" s="219"/>
      <c r="V94" s="220"/>
      <c r="W94" s="221"/>
      <c r="X94" s="222"/>
      <c r="Y94" s="222"/>
      <c r="Z94" s="222"/>
      <c r="AA94" s="222"/>
      <c r="AB94" s="222"/>
      <c r="AC94" s="222"/>
      <c r="AD94" s="222"/>
      <c r="AE94" s="222"/>
      <c r="AF94" s="123"/>
      <c r="AG94" s="123"/>
      <c r="AH94" s="123"/>
      <c r="AI94" s="123"/>
      <c r="AJ94" s="123"/>
      <c r="AK94" s="124"/>
      <c r="AL94" s="124"/>
      <c r="AM94" s="124"/>
      <c r="AN94" s="124"/>
      <c r="AO94" s="124"/>
      <c r="AP94" s="124"/>
      <c r="AQ94" s="124"/>
      <c r="AR94" s="124"/>
      <c r="AS94" s="124"/>
      <c r="AT94" s="124"/>
      <c r="AU94" s="124"/>
      <c r="AV94" s="124"/>
      <c r="AW94" s="124"/>
      <c r="AX94" s="124"/>
      <c r="AY94" s="124"/>
      <c r="AZ94" s="7"/>
      <c r="BA94" s="126"/>
      <c r="BB94" s="126"/>
      <c r="BC94" s="126"/>
      <c r="BD94" s="126"/>
      <c r="BE94" s="126"/>
      <c r="BF94" s="126"/>
      <c r="BG94" s="126"/>
      <c r="BH94" s="126"/>
      <c r="BI94" s="126"/>
      <c r="BJ94" s="314"/>
    </row>
    <row r="95" spans="1:62" ht="13.5" x14ac:dyDescent="0.25">
      <c r="A95" s="314"/>
      <c r="B95" s="130" t="s">
        <v>57</v>
      </c>
      <c r="C95" s="53"/>
      <c r="D95" s="130"/>
      <c r="E95" s="162">
        <f>(AB23*J92)/(M22*J60)-1</f>
        <v>-2.1615384615384592E-2</v>
      </c>
      <c r="F95" s="168" t="str">
        <f>IF(L95&lt;&gt;0,IF(L95&lt;0,"DECREASE","INCREASE"),"UNCHANGED")</f>
        <v>DECREASE</v>
      </c>
      <c r="G95" s="128"/>
      <c r="H95" s="130"/>
      <c r="I95" s="130"/>
      <c r="J95" s="128"/>
      <c r="K95" s="132" t="str">
        <f>CONCATENATE("( ",ROUND(AJ45,2),N22," + ",ROUND((AB23-AJ45),2),N22," ) * ",ROUND(J92,2),X44," - ",Z45,N22," * ",ROUND(J60,2),X44," =")</f>
        <v>( 7.53KT + 0.37KT ) * 1610$/TON - 10KT * 1300$/TON =</v>
      </c>
      <c r="L95" s="143">
        <f>ROUND((AB23*J92-M22*J60)/LOOKUP(1,J28:J30,L28:L30),3)</f>
        <v>-0.28100000000000003</v>
      </c>
      <c r="M95" s="159" t="str">
        <f>CONCATENATE(LOOKUP(1,J28:J30,M28:M30)," pa")</f>
        <v>M$ pa</v>
      </c>
      <c r="N95" s="161" t="str">
        <f>IF(L95&lt;&gt;0,IF(L95&lt;0,"LOSS","GAIN"),"")</f>
        <v>LOSS</v>
      </c>
      <c r="O95" s="116"/>
      <c r="P95" s="116"/>
      <c r="Q95" s="116"/>
      <c r="R95" s="116"/>
      <c r="S95" s="116"/>
      <c r="T95" s="116"/>
      <c r="U95" s="219"/>
      <c r="V95" s="220"/>
      <c r="W95" s="221"/>
      <c r="X95" s="222"/>
      <c r="Y95" s="222"/>
      <c r="Z95" s="222"/>
      <c r="AA95" s="222"/>
      <c r="AB95" s="222"/>
      <c r="AC95" s="222"/>
      <c r="AD95" s="222"/>
      <c r="AE95" s="222"/>
      <c r="AF95" s="123"/>
      <c r="AG95" s="123"/>
      <c r="AH95" s="123"/>
      <c r="AI95" s="123"/>
      <c r="AJ95" s="123"/>
      <c r="AK95" s="124"/>
      <c r="AL95" s="124"/>
      <c r="AM95" s="124"/>
      <c r="AN95" s="124"/>
      <c r="AO95" s="124"/>
      <c r="AP95" s="124"/>
      <c r="AQ95" s="124"/>
      <c r="AR95" s="124"/>
      <c r="AS95" s="124"/>
      <c r="AT95" s="124"/>
      <c r="AU95" s="124"/>
      <c r="AV95" s="124"/>
      <c r="AW95" s="124"/>
      <c r="AX95" s="124"/>
      <c r="AY95" s="124"/>
      <c r="AZ95" s="7"/>
      <c r="BA95" s="126"/>
      <c r="BB95" s="126"/>
      <c r="BC95" s="126"/>
      <c r="BD95" s="126"/>
      <c r="BE95" s="126"/>
      <c r="BF95" s="126"/>
      <c r="BG95" s="126"/>
      <c r="BH95" s="126"/>
      <c r="BI95" s="126"/>
      <c r="BJ95" s="314"/>
    </row>
    <row r="96" spans="1:62" ht="13.5" x14ac:dyDescent="0.25">
      <c r="A96" s="314"/>
      <c r="B96" s="130" t="s">
        <v>55</v>
      </c>
      <c r="C96" s="53"/>
      <c r="D96" s="130"/>
      <c r="E96" s="162">
        <f>(AB23*AB44)/(M22*Z44)-1</f>
        <v>-0.1287601122508224</v>
      </c>
      <c r="F96" s="168" t="str">
        <f>IF(L96&lt;&gt;0,IF(L96&lt;0,"INCREASE","DECREASE"),"UNCHANGED")</f>
        <v>DECREASE</v>
      </c>
      <c r="G96" s="128"/>
      <c r="H96" s="130"/>
      <c r="I96" s="130"/>
      <c r="J96" s="144"/>
      <c r="K96" s="132" t="str">
        <f>CONCATENATE(Z45,N22," * ",ROUND(Z44,2),X44," - ","( ",ROUND(AJ45,2),N22," + ",ROUND((AB23-AJ45),2),N22," ) * ",ROUND(AB44,2),X44," =")</f>
        <v>10KT * 1033.4$/TON - ( 7.53KT + 0.37KT ) * 1139.67$/TON =</v>
      </c>
      <c r="L96" s="122">
        <f>ROUND((M22*Z44-AB23*AB44)/LOOKUP(1,J28:J30,L28:L30),3)</f>
        <v>1.331</v>
      </c>
      <c r="M96" s="159" t="str">
        <f>CONCATENATE(LOOKUP(1,J28:J30,M28:M30)," pa")</f>
        <v>M$ pa</v>
      </c>
      <c r="N96" s="161" t="str">
        <f>IF(L96&lt;&gt;0,IF(L96&lt;0,"LOSS","GAIN"),"")</f>
        <v>GAIN</v>
      </c>
      <c r="O96" s="116"/>
      <c r="P96" s="116"/>
      <c r="Q96" s="116"/>
      <c r="R96" s="116"/>
      <c r="S96" s="116"/>
      <c r="T96" s="116"/>
      <c r="U96" s="219"/>
      <c r="V96" s="220"/>
      <c r="W96" s="221"/>
      <c r="X96" s="222"/>
      <c r="Y96" s="222"/>
      <c r="Z96" s="222"/>
      <c r="AA96" s="222"/>
      <c r="AB96" s="222"/>
      <c r="AC96" s="222"/>
      <c r="AD96" s="222"/>
      <c r="AE96" s="222"/>
      <c r="AF96" s="123"/>
      <c r="AG96" s="123"/>
      <c r="AH96" s="123"/>
      <c r="AI96" s="123"/>
      <c r="AJ96" s="123"/>
      <c r="AK96" s="124"/>
      <c r="AL96" s="124"/>
      <c r="AM96" s="124"/>
      <c r="AN96" s="124"/>
      <c r="AO96" s="124"/>
      <c r="AP96" s="124"/>
      <c r="AQ96" s="124"/>
      <c r="AR96" s="124"/>
      <c r="AS96" s="124"/>
      <c r="AT96" s="124"/>
      <c r="AU96" s="124"/>
      <c r="AV96" s="124"/>
      <c r="AW96" s="124"/>
      <c r="AX96" s="124"/>
      <c r="AY96" s="124"/>
      <c r="AZ96" s="7"/>
      <c r="BA96" s="126"/>
      <c r="BB96" s="126"/>
      <c r="BC96" s="126"/>
      <c r="BD96" s="126"/>
      <c r="BE96" s="126"/>
      <c r="BF96" s="126"/>
      <c r="BG96" s="126"/>
      <c r="BH96" s="126"/>
      <c r="BI96" s="126"/>
      <c r="BJ96" s="314"/>
    </row>
    <row r="97" spans="1:62" ht="13.5" x14ac:dyDescent="0.25">
      <c r="A97" s="314"/>
      <c r="B97" s="130" t="s">
        <v>56</v>
      </c>
      <c r="C97" s="148"/>
      <c r="D97" s="130"/>
      <c r="E97" s="162">
        <f>IF(M26&lt;&gt;0,(AB23*AB44)/(M22*Z44)-1,"")</f>
        <v>-0.1287601122508224</v>
      </c>
      <c r="F97" s="168" t="str">
        <f>IF(L97&lt;&gt;0,IF(L97&lt;0,"INCREASE","DECREASE"),"UNCHANGED")</f>
        <v>DECREASE</v>
      </c>
      <c r="G97" s="128"/>
      <c r="H97" s="145"/>
      <c r="I97" s="145"/>
      <c r="J97" s="137"/>
      <c r="K97" s="132" t="str">
        <f>CONCATENATE(M26,"/365 * [",Z45,N22,"*",ROUND(Z44,2),X44,"-","(",ROUND(AJ45,2),N22,"+",ROUND((AB23-AJ45),2),N22,")*",ROUND(AB44,2),X44,"] =")</f>
        <v>31/365 * [10KT*1033.4$/TON-(7.53KT+0.37KT)*1139.67$/TON] =</v>
      </c>
      <c r="L97" s="122">
        <f>ROUND(M26/365*(L96),10)</f>
        <v>0.1130438356</v>
      </c>
      <c r="M97" s="159" t="str">
        <f>CONCATENATE(LOOKUP(1,J28:J30,M28:M30)," pa")</f>
        <v>M$ pa</v>
      </c>
      <c r="N97" s="161" t="str">
        <f>IF(L97&lt;&gt;0,IF(L97&lt;0,"LOSS","GAIN"),"")</f>
        <v>GAIN</v>
      </c>
      <c r="O97" s="116"/>
      <c r="P97" s="116"/>
      <c r="Q97" s="116"/>
      <c r="R97" s="116"/>
      <c r="S97" s="116"/>
      <c r="T97" s="116"/>
      <c r="U97" s="219"/>
      <c r="V97" s="226"/>
      <c r="W97" s="221"/>
      <c r="X97" s="222"/>
      <c r="Y97" s="222"/>
      <c r="Z97" s="222"/>
      <c r="AA97" s="222"/>
      <c r="AB97" s="222"/>
      <c r="AC97" s="222"/>
      <c r="AD97" s="222"/>
      <c r="AE97" s="222"/>
      <c r="AF97" s="123"/>
      <c r="AG97" s="123"/>
      <c r="AH97" s="123"/>
      <c r="AI97" s="123"/>
      <c r="AJ97" s="123"/>
      <c r="AK97" s="103"/>
      <c r="AL97" s="103"/>
      <c r="AM97" s="146"/>
      <c r="AN97" s="147"/>
      <c r="AO97" s="103"/>
      <c r="AP97" s="103"/>
      <c r="AQ97" s="315"/>
      <c r="AR97" s="315"/>
      <c r="AS97" s="315"/>
      <c r="AT97" s="315"/>
      <c r="AU97" s="315"/>
      <c r="AV97" s="315"/>
      <c r="AW97" s="315"/>
      <c r="AX97" s="316"/>
      <c r="AY97" s="316"/>
      <c r="AZ97" s="103"/>
      <c r="BA97" s="103"/>
      <c r="BB97" s="103"/>
      <c r="BC97" s="103"/>
      <c r="BD97" s="103"/>
      <c r="BE97" s="103"/>
      <c r="BF97" s="103"/>
      <c r="BG97" s="103"/>
      <c r="BH97" s="103"/>
      <c r="BI97" s="103"/>
      <c r="BJ97" s="314"/>
    </row>
    <row r="98" spans="1:62" ht="13.5" x14ac:dyDescent="0.25">
      <c r="A98" s="314"/>
      <c r="B98" s="130" t="s">
        <v>60</v>
      </c>
      <c r="C98" s="53"/>
      <c r="D98" s="130"/>
      <c r="E98" s="163">
        <f>AB23/M22-1</f>
        <v>-0.20999999999999996</v>
      </c>
      <c r="F98" s="168" t="str">
        <f>IF(L98&lt;&gt;0,IF(L98&lt;0,"INCREASE","DECREASE"),"UNCHANGED")</f>
        <v>DECREASE</v>
      </c>
      <c r="G98" s="128"/>
      <c r="H98" s="130"/>
      <c r="I98" s="130"/>
      <c r="J98" s="137"/>
      <c r="K98" s="132" t="str">
        <f>CONCATENATE(M27,N27," * ( ",ROUND(M22,2),N22," - ",ROUND(AB23,2),N22," ) =")</f>
        <v>50$/TON * ( 10KT - 7.9KT ) =</v>
      </c>
      <c r="L98" s="122">
        <f>ROUND((M22-AB23)*M27/LOOKUP(1,J28:J30,L28:L30),3)</f>
        <v>0.105</v>
      </c>
      <c r="M98" s="159" t="str">
        <f>CONCATENATE(LOOKUP(1,J28:J30,M28:M30)," pa")</f>
        <v>M$ pa</v>
      </c>
      <c r="N98" s="161" t="str">
        <f>IF(L98&lt;&gt;0,IF(L98&lt;0,"LOSS","GAIN"),"")</f>
        <v>GAIN</v>
      </c>
      <c r="O98" s="116"/>
      <c r="P98" s="116"/>
      <c r="Q98" s="116"/>
      <c r="R98" s="116"/>
      <c r="S98" s="116"/>
      <c r="T98" s="116"/>
      <c r="U98" s="219"/>
      <c r="V98" s="220"/>
      <c r="W98" s="221"/>
      <c r="X98" s="222"/>
      <c r="Y98" s="222"/>
      <c r="Z98" s="222"/>
      <c r="AA98" s="222"/>
      <c r="AB98" s="222"/>
      <c r="AC98" s="222"/>
      <c r="AD98" s="222"/>
      <c r="AE98" s="222"/>
      <c r="AF98" s="123"/>
      <c r="AG98" s="123"/>
      <c r="AH98" s="123"/>
      <c r="AI98" s="123"/>
      <c r="AJ98" s="123"/>
      <c r="AK98" s="7"/>
      <c r="AL98" s="7"/>
      <c r="AM98" s="101"/>
      <c r="AN98" s="149"/>
      <c r="AO98" s="7"/>
      <c r="AP98" s="7"/>
      <c r="AQ98" s="101"/>
      <c r="AR98" s="101"/>
      <c r="AS98" s="101"/>
      <c r="AT98" s="101"/>
      <c r="AU98" s="101"/>
      <c r="AV98" s="101"/>
      <c r="AW98" s="101"/>
      <c r="AX98" s="101"/>
      <c r="AY98" s="149"/>
      <c r="AZ98" s="7"/>
      <c r="BA98" s="7"/>
      <c r="BB98" s="7"/>
      <c r="BC98" s="7"/>
      <c r="BD98" s="7"/>
      <c r="BE98" s="7"/>
      <c r="BF98" s="7"/>
      <c r="BG98" s="7"/>
      <c r="BH98" s="7"/>
      <c r="BI98" s="7"/>
      <c r="BJ98" s="314"/>
    </row>
    <row r="99" spans="1:62" ht="13.5" x14ac:dyDescent="0.25">
      <c r="A99" s="314"/>
      <c r="B99" s="117"/>
      <c r="C99" s="53"/>
      <c r="D99" s="117"/>
      <c r="E99" s="163"/>
      <c r="F99" s="158"/>
      <c r="G99" s="128"/>
      <c r="H99" s="130"/>
      <c r="I99" s="130"/>
      <c r="J99" s="137"/>
      <c r="K99" s="117" t="s">
        <v>77</v>
      </c>
      <c r="L99" s="122">
        <f>SUM(L95:L98)</f>
        <v>1.2680438355999999</v>
      </c>
      <c r="M99" s="159" t="str">
        <f>CONCATENATE(LOOKUP(1,J28:J30,M28:M30)," pa")</f>
        <v>M$ pa</v>
      </c>
      <c r="N99" s="162" t="str">
        <f>IF(L99&lt;&gt;0,IF(L99&lt;0,"LOSS","GAIN"),"")</f>
        <v>GAIN</v>
      </c>
      <c r="O99" s="116"/>
      <c r="P99" s="116"/>
      <c r="Q99" s="116"/>
      <c r="R99" s="116"/>
      <c r="S99" s="116"/>
      <c r="T99" s="116"/>
      <c r="U99" s="219"/>
      <c r="V99" s="220"/>
      <c r="W99" s="221"/>
      <c r="X99" s="222"/>
      <c r="Y99" s="222"/>
      <c r="Z99" s="222"/>
      <c r="AA99" s="222"/>
      <c r="AB99" s="222"/>
      <c r="AC99" s="222"/>
      <c r="AD99" s="222"/>
      <c r="AE99" s="222"/>
      <c r="AF99" s="123"/>
      <c r="AG99" s="123"/>
      <c r="AH99" s="123"/>
      <c r="AI99" s="123"/>
      <c r="AJ99" s="123"/>
      <c r="AK99" s="7"/>
      <c r="AL99" s="7"/>
      <c r="AM99" s="101"/>
      <c r="AN99" s="149"/>
      <c r="AO99" s="7"/>
      <c r="AP99" s="7"/>
      <c r="AQ99" s="101"/>
      <c r="AR99" s="101"/>
      <c r="AS99" s="101"/>
      <c r="AT99" s="101"/>
      <c r="AU99" s="101"/>
      <c r="AV99" s="101"/>
      <c r="AW99" s="101"/>
      <c r="AX99" s="101"/>
      <c r="AY99" s="149"/>
      <c r="AZ99" s="7"/>
      <c r="BA99" s="7"/>
      <c r="BB99" s="7"/>
      <c r="BC99" s="7"/>
      <c r="BD99" s="7"/>
      <c r="BE99" s="7"/>
      <c r="BF99" s="7"/>
      <c r="BG99" s="7"/>
      <c r="BH99" s="7"/>
      <c r="BI99" s="7"/>
      <c r="BJ99" s="314"/>
    </row>
    <row r="100" spans="1:62" ht="13.5" x14ac:dyDescent="0.25">
      <c r="A100" s="314"/>
      <c r="B100" s="130"/>
      <c r="C100" s="53"/>
      <c r="D100" s="130"/>
      <c r="E100" s="130"/>
      <c r="F100" s="130"/>
      <c r="G100" s="130"/>
      <c r="H100" s="130"/>
      <c r="I100" s="130"/>
      <c r="J100" s="137"/>
      <c r="K100" s="128"/>
      <c r="L100" s="130"/>
      <c r="M100" s="159"/>
      <c r="N100" s="160"/>
      <c r="O100" s="116"/>
      <c r="P100" s="116"/>
      <c r="Q100" s="116"/>
      <c r="R100" s="116"/>
      <c r="S100" s="116"/>
      <c r="T100" s="116"/>
      <c r="U100" s="116"/>
      <c r="V100" s="7"/>
      <c r="W100" s="135"/>
      <c r="X100" s="123"/>
      <c r="Y100" s="123"/>
      <c r="Z100" s="123"/>
      <c r="AA100" s="123"/>
      <c r="AB100" s="123"/>
      <c r="AC100" s="123"/>
      <c r="AD100" s="123"/>
      <c r="AE100" s="123"/>
      <c r="AF100" s="123"/>
      <c r="AG100" s="123"/>
      <c r="AH100" s="123"/>
      <c r="AI100" s="123"/>
      <c r="AJ100" s="123"/>
      <c r="AK100" s="7"/>
      <c r="AL100" s="7"/>
      <c r="AM100" s="101"/>
      <c r="AN100" s="102"/>
      <c r="AO100" s="7"/>
      <c r="AP100" s="7"/>
      <c r="AQ100" s="101"/>
      <c r="AR100" s="101"/>
      <c r="AS100" s="101"/>
      <c r="AT100" s="101"/>
      <c r="AU100" s="101"/>
      <c r="AV100" s="101"/>
      <c r="AW100" s="101"/>
      <c r="AX100" s="101"/>
      <c r="AY100" s="102"/>
      <c r="AZ100" s="7"/>
      <c r="BA100" s="7"/>
      <c r="BB100" s="7"/>
      <c r="BC100" s="7"/>
      <c r="BD100" s="7"/>
      <c r="BE100" s="7"/>
      <c r="BF100" s="7"/>
      <c r="BG100" s="7"/>
      <c r="BH100" s="7"/>
      <c r="BI100" s="7"/>
      <c r="BJ100" s="314"/>
    </row>
    <row r="101" spans="1:62" ht="13.5" x14ac:dyDescent="0.25">
      <c r="A101" s="314"/>
      <c r="B101" s="136" t="str">
        <f>CONCATENATE("DOWNSTREAM PLAYERS BENEFITS - BUYING SAME ",LOOKUP(BA6,BC9:BC32,BG9:BG32))</f>
        <v>DOWNSTREAM PLAYERS BENEFITS - BUYING SAME sq m</v>
      </c>
      <c r="C101" s="53"/>
      <c r="D101" s="137"/>
      <c r="E101" s="137"/>
      <c r="F101" s="137"/>
      <c r="G101" s="137"/>
      <c r="H101" s="130"/>
      <c r="I101" s="130"/>
      <c r="J101" s="137"/>
      <c r="K101" s="128"/>
      <c r="L101" s="137"/>
      <c r="M101" s="159"/>
      <c r="N101" s="160"/>
      <c r="O101" s="116"/>
      <c r="P101" s="116"/>
      <c r="Q101" s="116"/>
      <c r="R101" s="116"/>
      <c r="S101" s="116"/>
      <c r="T101" s="116"/>
      <c r="U101" s="116"/>
      <c r="V101" s="7"/>
      <c r="W101" s="135"/>
      <c r="X101" s="123"/>
      <c r="Y101" s="123"/>
      <c r="Z101" s="123"/>
      <c r="AA101" s="123"/>
      <c r="AB101" s="123"/>
      <c r="AC101" s="123"/>
      <c r="AD101" s="123"/>
      <c r="AE101" s="123"/>
      <c r="AF101" s="123"/>
      <c r="AG101" s="123"/>
      <c r="AH101" s="123"/>
      <c r="AI101" s="123"/>
      <c r="AJ101" s="123"/>
      <c r="AK101" s="7"/>
      <c r="AL101" s="7"/>
      <c r="AM101" s="101"/>
      <c r="AN101" s="150"/>
      <c r="AO101" s="7"/>
      <c r="AP101" s="7"/>
      <c r="AQ101" s="101"/>
      <c r="AR101" s="101"/>
      <c r="AS101" s="101"/>
      <c r="AT101" s="101"/>
      <c r="AU101" s="101"/>
      <c r="AV101" s="101"/>
      <c r="AW101" s="101"/>
      <c r="AX101" s="101"/>
      <c r="AY101" s="150"/>
      <c r="AZ101" s="7"/>
      <c r="BA101" s="7"/>
      <c r="BB101" s="7"/>
      <c r="BC101" s="7"/>
      <c r="BD101" s="7"/>
      <c r="BE101" s="7"/>
      <c r="BF101" s="7"/>
      <c r="BG101" s="7"/>
      <c r="BH101" s="7"/>
      <c r="BI101" s="7"/>
      <c r="BJ101" s="314"/>
    </row>
    <row r="102" spans="1:62" ht="13.5" x14ac:dyDescent="0.25">
      <c r="A102" s="314"/>
      <c r="B102" s="130" t="s">
        <v>76</v>
      </c>
      <c r="C102" s="53"/>
      <c r="D102" s="130"/>
      <c r="E102" s="163">
        <f>(J92*AJ45)/(J60*Z45)-1</f>
        <v>-6.7493705077589117E-2</v>
      </c>
      <c r="F102" s="168" t="str">
        <f>IF(L102&lt;&gt;0,IF(L102&lt;0,"INCREASE","DECREASE"),"UNCHANGED")</f>
        <v>DECREASE</v>
      </c>
      <c r="G102" s="128"/>
      <c r="H102" s="130"/>
      <c r="I102" s="130"/>
      <c r="J102" s="137"/>
      <c r="K102" s="240" t="str">
        <f>CONCATENATE(ROUND(J60,2),N22," * ",ROUND(Z45,2),N22," - ",ROUND(J92,2),N75," * ",ROUND(AJ45,2),N22," =")</f>
        <v>1300KT * 10KT - 1610 * 7.53KT =</v>
      </c>
      <c r="L102" s="122">
        <f>ROUND((J60*Z45-J92*AJ45)/LOOKUP(1,J28:J30,L28:L30),3)</f>
        <v>0.877</v>
      </c>
      <c r="M102" s="159" t="str">
        <f>CONCATENATE(LOOKUP(1,J28:J30,M28:M30)," pa")</f>
        <v>M$ pa</v>
      </c>
      <c r="N102" s="161" t="str">
        <f>IF(L102&lt;&gt;0,IF(L102&lt;0,"LOSS","GAIN"),"")</f>
        <v>GAIN</v>
      </c>
      <c r="O102" s="116"/>
      <c r="P102" s="116"/>
      <c r="Q102" s="116"/>
      <c r="R102" s="116"/>
      <c r="S102" s="116"/>
      <c r="T102" s="116"/>
      <c r="U102" s="116"/>
      <c r="V102" s="7"/>
      <c r="W102" s="135"/>
      <c r="X102" s="123"/>
      <c r="Y102" s="123"/>
      <c r="Z102" s="123"/>
      <c r="AA102" s="123"/>
      <c r="AB102" s="123"/>
      <c r="AC102" s="123"/>
      <c r="AD102" s="123"/>
      <c r="AE102" s="123"/>
      <c r="AF102" s="123"/>
      <c r="AG102" s="123"/>
      <c r="AH102" s="123"/>
      <c r="AI102" s="123"/>
      <c r="AJ102" s="123"/>
      <c r="AK102" s="7"/>
      <c r="AL102" s="7"/>
      <c r="AM102" s="7"/>
      <c r="AN102" s="7"/>
      <c r="AO102" s="7"/>
      <c r="AP102" s="7"/>
      <c r="AQ102" s="7"/>
      <c r="AR102" s="7"/>
      <c r="AS102" s="7"/>
      <c r="AT102" s="7"/>
      <c r="AU102" s="7"/>
      <c r="AV102" s="7"/>
      <c r="AW102" s="7"/>
      <c r="AX102" s="7"/>
      <c r="AY102" s="7"/>
      <c r="AZ102" s="300"/>
      <c r="BA102" s="7"/>
      <c r="BB102" s="7"/>
      <c r="BC102" s="7"/>
      <c r="BD102" s="7"/>
      <c r="BE102" s="7"/>
      <c r="BF102" s="7"/>
      <c r="BG102" s="7"/>
      <c r="BH102" s="7"/>
      <c r="BI102" s="7"/>
      <c r="BJ102" s="314"/>
    </row>
    <row r="103" spans="1:62" ht="13.5" x14ac:dyDescent="0.25">
      <c r="A103" s="314"/>
      <c r="B103" s="130" t="s">
        <v>56</v>
      </c>
      <c r="C103" s="153"/>
      <c r="D103" s="130"/>
      <c r="E103" s="163">
        <f>IF(M26&lt;&gt;0,(J92*AJ45)/(J60*Z45)-1,"")</f>
        <v>-6.7493705077589117E-2</v>
      </c>
      <c r="F103" s="168" t="str">
        <f>IF(L103&lt;&gt;0,IF(L103&lt;0,"INCREASE","DECREASE"),"UNCHANGED")</f>
        <v>DECREASE</v>
      </c>
      <c r="G103" s="128"/>
      <c r="H103" s="151"/>
      <c r="I103" s="151"/>
      <c r="J103" s="137"/>
      <c r="K103" s="240" t="str">
        <f>CONCATENATE(M26," / 365 * ( ",ROUND(J60,2),N22," * ",ROUND(Z45,2),N22," - ",ROUND(J92,2),N75," * ",ROUND(AJ45,2),N22," ) =")</f>
        <v>31 / 365 * ( 1300KT * 10KT - 1610 * 7.53KT ) =</v>
      </c>
      <c r="L103" s="122">
        <f>(L102*M26/365)</f>
        <v>7.4484931506849317E-2</v>
      </c>
      <c r="M103" s="159" t="str">
        <f>CONCATENATE(LOOKUP(1,J28:J30,M28:M30)," pa")</f>
        <v>M$ pa</v>
      </c>
      <c r="N103" s="161" t="str">
        <f>IF(L103&lt;&gt;0,IF(L103&lt;0,"LOSS","GAIN"),"")</f>
        <v>GAIN</v>
      </c>
      <c r="O103" s="116"/>
      <c r="P103" s="116"/>
      <c r="Q103" s="116"/>
      <c r="R103" s="116"/>
      <c r="S103" s="116"/>
      <c r="T103" s="116"/>
      <c r="U103" s="116"/>
      <c r="V103" s="90"/>
      <c r="W103" s="135"/>
      <c r="X103" s="123"/>
      <c r="Y103" s="123"/>
      <c r="Z103" s="123"/>
      <c r="AA103" s="123"/>
      <c r="AB103" s="123"/>
      <c r="AC103" s="123"/>
      <c r="AD103" s="123"/>
      <c r="AE103" s="123"/>
      <c r="AF103" s="123"/>
      <c r="AG103" s="123"/>
      <c r="AH103" s="123"/>
      <c r="AI103" s="123"/>
      <c r="AJ103" s="123"/>
      <c r="AK103" s="90"/>
      <c r="AL103" s="7"/>
      <c r="AM103" s="152"/>
      <c r="AN103" s="81"/>
      <c r="AO103" s="7"/>
      <c r="AP103" s="7"/>
      <c r="AQ103" s="90"/>
      <c r="AR103" s="90"/>
      <c r="AS103" s="90"/>
      <c r="AT103" s="90"/>
      <c r="AU103" s="90"/>
      <c r="AV103" s="90"/>
      <c r="AW103" s="90"/>
      <c r="AX103" s="152"/>
      <c r="AY103" s="81"/>
      <c r="AZ103" s="89"/>
      <c r="BA103" s="90"/>
      <c r="BB103" s="90"/>
      <c r="BC103" s="90"/>
      <c r="BD103" s="90"/>
      <c r="BE103" s="90"/>
      <c r="BF103" s="90"/>
      <c r="BG103" s="90"/>
      <c r="BH103" s="90"/>
      <c r="BI103" s="90"/>
      <c r="BJ103" s="314"/>
    </row>
    <row r="104" spans="1:62" ht="13.5" x14ac:dyDescent="0.25">
      <c r="A104" s="314"/>
      <c r="B104" s="137" t="str">
        <f>IF(AB27&lt;&gt;100%,"UNIT VALUE ADD","")</f>
        <v>UNIT VALUE ADD</v>
      </c>
      <c r="C104" s="153"/>
      <c r="D104" s="130"/>
      <c r="E104" s="163">
        <f>IF(AB27&lt;&gt;100%,(AB27-1),"")</f>
        <v>5.0000000000000044E-2</v>
      </c>
      <c r="F104" s="168" t="str">
        <f>IF(AB27&lt;&gt;100%,IF(L104&lt;&gt;0,IF(L104&lt;0,"DECREASE","INCREASE"),"UNCHANGED"),"")</f>
        <v>INCREASE</v>
      </c>
      <c r="G104" s="128"/>
      <c r="H104" s="151"/>
      <c r="I104" s="151"/>
      <c r="J104" s="137"/>
      <c r="K104" s="240" t="str">
        <f>IF(AB27&lt;&gt;100%,CONCATENATE("(",ROUND(AB27,2)*100,"% - ","100%) * ",ROUND(J60,2),X44," * ",ROUND(AJ45,2),AC23," ="),"")</f>
        <v>(105% - 100%) * 1300$/TON * 7.53KT =</v>
      </c>
      <c r="L104" s="122">
        <f>IF(AB27&lt;&gt;100%,ROUND(((AB27-1)*J60*AJ45)/LOOKUP(1,J28:J30,L28:L30),3),"")</f>
        <v>0.48899999999999999</v>
      </c>
      <c r="M104" s="159" t="str">
        <f>IF(AB27&lt;&gt;100%,CONCATENATE(LOOKUP(1,J28:J30,M28:M30)," pa"),"")</f>
        <v>M$ pa</v>
      </c>
      <c r="N104" s="161" t="str">
        <f>IF(AB27&lt;&gt;100%,IF(L104&lt;&gt;0,IF(L104&lt;0,"LOSS","GAIN"),""),"")</f>
        <v>GAIN</v>
      </c>
      <c r="O104" s="116"/>
      <c r="P104" s="116"/>
      <c r="Q104" s="116"/>
      <c r="R104" s="116"/>
      <c r="S104" s="116"/>
      <c r="T104" s="116"/>
      <c r="U104" s="116"/>
      <c r="V104" s="90"/>
      <c r="W104" s="135"/>
      <c r="X104" s="123"/>
      <c r="Y104" s="123"/>
      <c r="Z104" s="123"/>
      <c r="AA104" s="123"/>
      <c r="AB104" s="123"/>
      <c r="AC104" s="123"/>
      <c r="AD104" s="123"/>
      <c r="AE104" s="123"/>
      <c r="AF104" s="123"/>
      <c r="AG104" s="123"/>
      <c r="AH104" s="123"/>
      <c r="AI104" s="123"/>
      <c r="AJ104" s="123"/>
      <c r="AK104" s="90"/>
      <c r="AL104" s="7"/>
      <c r="AM104" s="90"/>
      <c r="AN104" s="90"/>
      <c r="AO104" s="90"/>
      <c r="AP104" s="90"/>
      <c r="AQ104" s="90"/>
      <c r="AR104" s="90"/>
      <c r="AS104" s="90"/>
      <c r="AT104" s="90"/>
      <c r="AU104" s="90"/>
      <c r="AV104" s="90"/>
      <c r="AW104" s="90"/>
      <c r="AX104" s="90"/>
      <c r="AY104" s="90"/>
      <c r="AZ104" s="89"/>
      <c r="BA104" s="90"/>
      <c r="BB104" s="90"/>
      <c r="BC104" s="90"/>
      <c r="BD104" s="90"/>
      <c r="BE104" s="90"/>
      <c r="BF104" s="90"/>
      <c r="BG104" s="90"/>
      <c r="BH104" s="90"/>
      <c r="BI104" s="90"/>
      <c r="BJ104" s="314"/>
    </row>
    <row r="105" spans="1:62" ht="13.5" x14ac:dyDescent="0.25">
      <c r="A105" s="314"/>
      <c r="B105" s="117"/>
      <c r="C105" s="53"/>
      <c r="D105" s="117"/>
      <c r="E105" s="163"/>
      <c r="F105" s="158"/>
      <c r="G105" s="128"/>
      <c r="H105" s="130"/>
      <c r="I105" s="130"/>
      <c r="J105" s="137"/>
      <c r="K105" s="117" t="s">
        <v>77</v>
      </c>
      <c r="L105" s="122">
        <f>SUM(L102:L104)</f>
        <v>1.4404849315068493</v>
      </c>
      <c r="M105" s="159" t="str">
        <f>CONCATENATE(LOOKUP(1,J28:J30,M28:M30)," pa")</f>
        <v>M$ pa</v>
      </c>
      <c r="N105" s="162" t="str">
        <f>IF(L105&lt;&gt;0,IF(L105&lt;0,"LOSS","GAIN"),"")</f>
        <v>GAIN</v>
      </c>
      <c r="O105" s="116"/>
      <c r="P105" s="116"/>
      <c r="Q105" s="116"/>
      <c r="R105" s="116"/>
      <c r="S105" s="116"/>
      <c r="T105" s="116"/>
      <c r="U105" s="116"/>
      <c r="V105" s="90"/>
      <c r="W105" s="135"/>
      <c r="X105" s="123"/>
      <c r="Y105" s="123"/>
      <c r="Z105" s="123"/>
      <c r="AA105" s="123"/>
      <c r="AB105" s="123"/>
      <c r="AC105" s="123"/>
      <c r="AD105" s="123"/>
      <c r="AE105" s="123"/>
      <c r="AF105" s="123"/>
      <c r="AG105" s="123"/>
      <c r="AH105" s="123"/>
      <c r="AI105" s="123"/>
      <c r="AJ105" s="123"/>
      <c r="AK105" s="90"/>
      <c r="AL105" s="7"/>
      <c r="AM105" s="86"/>
      <c r="AN105" s="15"/>
      <c r="AO105" s="15"/>
      <c r="AP105" s="15"/>
      <c r="AQ105" s="15"/>
      <c r="AR105" s="15"/>
      <c r="AS105" s="15"/>
      <c r="AT105" s="15"/>
      <c r="AU105" s="15"/>
      <c r="AV105" s="15"/>
      <c r="AW105" s="15"/>
      <c r="AX105" s="15"/>
      <c r="AY105" s="15"/>
      <c r="AZ105" s="20"/>
      <c r="BA105" s="7"/>
      <c r="BB105" s="7"/>
      <c r="BC105" s="7"/>
      <c r="BD105" s="7"/>
      <c r="BE105" s="7"/>
      <c r="BF105" s="7"/>
      <c r="BG105" s="7"/>
      <c r="BH105" s="7"/>
      <c r="BI105" s="7"/>
      <c r="BJ105" s="314"/>
    </row>
    <row r="106" spans="1:62" ht="13.5" x14ac:dyDescent="0.25">
      <c r="A106" s="314"/>
      <c r="B106" s="154"/>
      <c r="C106" s="153"/>
      <c r="D106" s="154"/>
      <c r="E106" s="154"/>
      <c r="F106" s="154"/>
      <c r="G106" s="154"/>
      <c r="H106" s="154"/>
      <c r="I106" s="137"/>
      <c r="J106" s="137"/>
      <c r="K106" s="137"/>
      <c r="L106" s="137"/>
      <c r="M106" s="137"/>
      <c r="N106" s="137"/>
      <c r="O106" s="116"/>
      <c r="P106" s="116"/>
      <c r="Q106" s="116"/>
      <c r="R106" s="116"/>
      <c r="S106" s="116"/>
      <c r="T106" s="116"/>
      <c r="U106" s="116"/>
      <c r="V106" s="90"/>
      <c r="W106" s="135"/>
      <c r="X106" s="123"/>
      <c r="Y106" s="123"/>
      <c r="Z106" s="123"/>
      <c r="AA106" s="123"/>
      <c r="AB106" s="123"/>
      <c r="AC106" s="123"/>
      <c r="AD106" s="123"/>
      <c r="AE106" s="123"/>
      <c r="AF106" s="123"/>
      <c r="AG106" s="123"/>
      <c r="AH106" s="123"/>
      <c r="AI106" s="123"/>
      <c r="AJ106" s="123"/>
      <c r="AK106" s="90"/>
      <c r="AL106" s="7"/>
      <c r="AM106" s="90"/>
      <c r="AN106" s="90"/>
      <c r="AO106" s="90"/>
      <c r="AP106" s="90"/>
      <c r="AQ106" s="90"/>
      <c r="AR106" s="90"/>
      <c r="AS106" s="90"/>
      <c r="AT106" s="90"/>
      <c r="AU106" s="90"/>
      <c r="AV106" s="90"/>
      <c r="AW106" s="90"/>
      <c r="AX106" s="90"/>
      <c r="AY106" s="90"/>
      <c r="AZ106" s="89"/>
      <c r="BA106" s="90"/>
      <c r="BB106" s="90"/>
      <c r="BC106" s="90"/>
      <c r="BD106" s="90"/>
      <c r="BE106" s="90"/>
      <c r="BF106" s="90"/>
      <c r="BG106" s="90"/>
      <c r="BH106" s="90"/>
      <c r="BI106" s="90"/>
      <c r="BJ106" s="314"/>
    </row>
    <row r="107" spans="1:62" ht="13.5" x14ac:dyDescent="0.25">
      <c r="A107" s="155"/>
      <c r="B107" s="9"/>
      <c r="C107" s="9"/>
      <c r="D107" s="9"/>
      <c r="E107" s="9"/>
      <c r="F107" s="9"/>
      <c r="G107" s="9"/>
      <c r="H107" s="9"/>
      <c r="I107" s="9"/>
      <c r="J107" s="116"/>
      <c r="K107" s="116"/>
      <c r="L107" s="116"/>
      <c r="M107" s="116"/>
      <c r="N107" s="116"/>
      <c r="O107" s="116"/>
      <c r="P107" s="116"/>
      <c r="Q107" s="116"/>
      <c r="R107" s="116"/>
      <c r="S107" s="116"/>
      <c r="T107" s="116"/>
      <c r="U107" s="116"/>
      <c r="V107" s="90"/>
      <c r="W107" s="135"/>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sheetData>
  <sheetProtection algorithmName="SHA-512" hashValue="LF8Dqx5SWTmQgntUfj4w7+5j/cipMmavrvDWUiAk70muzrhPCcTsa2ZIydTke9qy0CKS37XdNo850CxU36cAMg==" saltValue="OzzHrsPgoEucOBeH0Mlsnw==" spinCount="100000" sheet="1" objects="1" scenarios="1" selectLockedCells="1"/>
  <mergeCells count="14">
    <mergeCell ref="X36:Z38"/>
    <mergeCell ref="A58:A106"/>
    <mergeCell ref="BJ58:BJ106"/>
    <mergeCell ref="AQ97:AY97"/>
    <mergeCell ref="A1:BJ1"/>
    <mergeCell ref="A3:A54"/>
    <mergeCell ref="B3:AJ3"/>
    <mergeCell ref="BJ3:BJ54"/>
    <mergeCell ref="I5:U5"/>
    <mergeCell ref="X5:AJ5"/>
    <mergeCell ref="AM5:AY5"/>
    <mergeCell ref="B6:C6"/>
    <mergeCell ref="E6:G6"/>
    <mergeCell ref="X33:Z35"/>
  </mergeCells>
  <conditionalFormatting sqref="B8:C8">
    <cfRule type="expression" dxfId="37" priority="7" stopIfTrue="1">
      <formula>COUNT(B9:B11)&lt;&gt;1</formula>
    </cfRule>
  </conditionalFormatting>
  <conditionalFormatting sqref="T6">
    <cfRule type="expression" dxfId="36" priority="8" stopIfTrue="1">
      <formula>Z6=0</formula>
    </cfRule>
  </conditionalFormatting>
  <conditionalFormatting sqref="AX27:AY27">
    <cfRule type="expression" dxfId="35" priority="9" stopIfTrue="1">
      <formula>BD29=0</formula>
    </cfRule>
  </conditionalFormatting>
  <conditionalFormatting sqref="B22:C22">
    <cfRule type="expression" dxfId="34" priority="10" stopIfTrue="1">
      <formula>COUNT(B23:F26)&lt;&gt;1</formula>
    </cfRule>
  </conditionalFormatting>
  <conditionalFormatting sqref="F22:G22">
    <cfRule type="expression" dxfId="33" priority="11" stopIfTrue="1">
      <formula>COUNT(F27:G30)&lt;&gt;1</formula>
    </cfRule>
  </conditionalFormatting>
  <conditionalFormatting sqref="D22">
    <cfRule type="expression" dxfId="32" priority="12" stopIfTrue="1">
      <formula>COUNT(D27:G30)&lt;&gt;1</formula>
    </cfRule>
  </conditionalFormatting>
  <conditionalFormatting sqref="E22">
    <cfRule type="expression" dxfId="31" priority="13" stopIfTrue="1">
      <formula>COUNT(E27:G30)&lt;&gt;1</formula>
    </cfRule>
  </conditionalFormatting>
  <conditionalFormatting sqref="X39:AC39">
    <cfRule type="expression" dxfId="30" priority="14" stopIfTrue="1">
      <formula>$C$16&lt;&gt;1</formula>
    </cfRule>
  </conditionalFormatting>
  <conditionalFormatting sqref="E65:E78 F58:F106 E97:E106 E81:E94 G67:H106 G58:H65 E58:E62 B58 B60:B106 C58:D106 J106:N106 V91:W91 V75:X75 P60:U106 I58:U59 J61:J75 K61:L61 J60:L60 M60:N61 K74:N75 L68:N68 N77 K62:K72 N85 J89 L89 N90:N93 M95:M105 J94:L105 O60:O107 J90:M91 J93:M93 I60:I106 J92:L92 L62:L67 M63:M67 L69:L73 M70:M73 J76:M77 J78:L88 M79:M89">
    <cfRule type="expression" dxfId="29" priority="15" stopIfTrue="1">
      <formula>$C$15&lt;&gt;1</formula>
    </cfRule>
  </conditionalFormatting>
  <conditionalFormatting sqref="E63:E64 E79:E80 E95:E96 G66:H66 N76 N63:N67 N70:N73 N79:N84 N86:N89 N95:N105">
    <cfRule type="expression" dxfId="28" priority="16" stopIfTrue="1">
      <formula>$C$15&lt;&gt;1</formula>
    </cfRule>
  </conditionalFormatting>
  <conditionalFormatting sqref="B44:U44 W32:W44 B32:H43">
    <cfRule type="expression" dxfId="27" priority="17" stopIfTrue="1">
      <formula>$C$16&lt;&gt;1</formula>
    </cfRule>
  </conditionalFormatting>
  <conditionalFormatting sqref="M36 I38:L39 M38 M39:N39 N36:N38 J36:L37 I40:N43 J32:N35 I32:I37">
    <cfRule type="expression" dxfId="26" priority="18" stopIfTrue="1">
      <formula>$C$15&lt;&gt;1</formula>
    </cfRule>
  </conditionalFormatting>
  <conditionalFormatting sqref="M37">
    <cfRule type="expression" dxfId="25" priority="19" stopIfTrue="1">
      <formula>$C$15&lt;&gt;1</formula>
    </cfRule>
  </conditionalFormatting>
  <conditionalFormatting sqref="AM27">
    <cfRule type="expression" dxfId="24" priority="20" stopIfTrue="1">
      <formula>#REF!=0</formula>
    </cfRule>
  </conditionalFormatting>
  <conditionalFormatting sqref="AY20:AY21">
    <cfRule type="cellIs" dxfId="23" priority="21" stopIfTrue="1" operator="notEqual">
      <formula>1</formula>
    </cfRule>
  </conditionalFormatting>
  <conditionalFormatting sqref="Z6:AI6">
    <cfRule type="expression" dxfId="22" priority="22" stopIfTrue="1">
      <formula>#REF!=0</formula>
    </cfRule>
  </conditionalFormatting>
  <conditionalFormatting sqref="U20:V21 AJ20:AL21 U22:U43 AJ22:AJ44">
    <cfRule type="cellIs" dxfId="21" priority="23" stopIfTrue="1" operator="notEqual">
      <formula>1</formula>
    </cfRule>
    <cfRule type="cellIs" priority="24" stopIfTrue="1" operator="equal">
      <formula>1</formula>
    </cfRule>
  </conditionalFormatting>
  <conditionalFormatting sqref="S6">
    <cfRule type="expression" dxfId="20" priority="25" stopIfTrue="1">
      <formula>Z6=0</formula>
    </cfRule>
  </conditionalFormatting>
  <conditionalFormatting sqref="R6">
    <cfRule type="expression" dxfId="19" priority="26" stopIfTrue="1">
      <formula>Z6=0</formula>
    </cfRule>
  </conditionalFormatting>
  <conditionalFormatting sqref="I6:P6">
    <cfRule type="expression" dxfId="18" priority="27" stopIfTrue="1">
      <formula>U6=0</formula>
    </cfRule>
  </conditionalFormatting>
  <conditionalFormatting sqref="Q6">
    <cfRule type="expression" dxfId="17" priority="28" stopIfTrue="1">
      <formula>AI6=0</formula>
    </cfRule>
  </conditionalFormatting>
  <conditionalFormatting sqref="X6:Y6">
    <cfRule type="expression" dxfId="16" priority="29" stopIfTrue="1">
      <formula>AJ6=0</formula>
    </cfRule>
  </conditionalFormatting>
  <conditionalFormatting sqref="K73">
    <cfRule type="expression" dxfId="15" priority="6" stopIfTrue="1">
      <formula>$C$15&lt;&gt;1</formula>
    </cfRule>
  </conditionalFormatting>
  <conditionalFormatting sqref="K89">
    <cfRule type="expression" dxfId="14" priority="5" stopIfTrue="1">
      <formula>$C$15&lt;&gt;1</formula>
    </cfRule>
  </conditionalFormatting>
  <conditionalFormatting sqref="M92">
    <cfRule type="expression" dxfId="13" priority="4" stopIfTrue="1">
      <formula>$C$15&lt;&gt;1</formula>
    </cfRule>
  </conditionalFormatting>
  <conditionalFormatting sqref="I22:N27">
    <cfRule type="expression" dxfId="12" priority="3">
      <formula>$C$15&lt;&gt;1</formula>
    </cfRule>
  </conditionalFormatting>
  <conditionalFormatting sqref="X22:AC25">
    <cfRule type="expression" dxfId="11" priority="2">
      <formula>$C$15&lt;&gt;1</formula>
    </cfRule>
  </conditionalFormatting>
  <conditionalFormatting sqref="B19:D19">
    <cfRule type="expression" dxfId="10" priority="1">
      <formula>$C$15=1</formula>
    </cfRule>
  </conditionalFormatting>
  <conditionalFormatting sqref="AW27">
    <cfRule type="expression" dxfId="9" priority="30" stopIfTrue="1">
      <formula>BD29=0</formula>
    </cfRule>
  </conditionalFormatting>
  <conditionalFormatting sqref="AV27">
    <cfRule type="expression" dxfId="8" priority="31" stopIfTrue="1">
      <formula>BD29=0</formula>
    </cfRule>
  </conditionalFormatting>
  <conditionalFormatting sqref="AT27:AU27">
    <cfRule type="expression" dxfId="7" priority="32" stopIfTrue="1">
      <formula>BD29=0</formula>
    </cfRule>
  </conditionalFormatting>
  <conditionalFormatting sqref="AN27:AS27">
    <cfRule type="expression" dxfId="6" priority="33" stopIfTrue="1">
      <formula>AZ29=0</formula>
    </cfRule>
  </conditionalFormatting>
  <printOptions horizontalCentered="1"/>
  <pageMargins left="0.25" right="0.25" top="0.75" bottom="0.75" header="0.3" footer="0.3"/>
  <pageSetup paperSize="9" scale="84" fitToHeight="0" orientation="landscape" r:id="rId1"/>
  <headerFooter>
    <oddHeader>&amp;L&amp;"Arial Black,Regular"&amp;12INTERNAL BENEFITS ASSESSMENT&amp;C&amp;"Arial Black,Regular"&amp;8print-out date : &amp;D&amp;R&amp;"Arial Black,Regular"&amp;12PROPRIETARY</oddHeader>
    <oddFooter>&amp;L&amp;"Arial Black,Regular"&amp;8Page &amp;P of &amp;N&amp;R&amp;"Arial Black,Regular"&amp;8&amp;F - &amp;A</oddFooter>
  </headerFooter>
  <rowBreaks count="1" manualBreakCount="1">
    <brk id="56"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FFFF00"/>
    <pageSetUpPr fitToPage="1"/>
  </sheetPr>
  <dimension ref="A1:Q91"/>
  <sheetViews>
    <sheetView showGridLines="0" workbookViewId="0">
      <selection activeCell="B3" sqref="B3:K3"/>
    </sheetView>
  </sheetViews>
  <sheetFormatPr defaultColWidth="9.140625" defaultRowHeight="15.75" x14ac:dyDescent="0.2"/>
  <cols>
    <col min="1" max="1" width="5.85546875" style="247" bestFit="1" customWidth="1"/>
    <col min="2" max="2" width="31.140625" style="247" customWidth="1"/>
    <col min="3" max="3" width="22.5703125" style="247" customWidth="1"/>
    <col min="4" max="4" width="11.42578125" style="247" customWidth="1"/>
    <col min="5" max="5" width="18.5703125" style="291" customWidth="1"/>
    <col min="6" max="6" width="10.5703125" style="291" bestFit="1" customWidth="1"/>
    <col min="7" max="7" width="11.42578125" style="291" bestFit="1" customWidth="1"/>
    <col min="8" max="8" width="12.5703125" style="247" bestFit="1" customWidth="1"/>
    <col min="9" max="9" width="13.42578125" style="247" bestFit="1" customWidth="1"/>
    <col min="10" max="11" width="13.5703125" style="247" bestFit="1" customWidth="1"/>
    <col min="12" max="12" width="2.42578125" style="247" hidden="1" customWidth="1"/>
    <col min="13" max="13" width="28.85546875" style="247" hidden="1" customWidth="1"/>
    <col min="14" max="14" width="4.5703125" style="297" bestFit="1" customWidth="1"/>
    <col min="15" max="16384" width="9.140625" style="247"/>
  </cols>
  <sheetData>
    <row r="1" spans="1:17" ht="38.25" customHeight="1" x14ac:dyDescent="0.2">
      <c r="A1" s="328" t="s">
        <v>190</v>
      </c>
      <c r="B1" s="329"/>
      <c r="C1" s="329"/>
      <c r="D1" s="329"/>
      <c r="E1" s="329"/>
      <c r="F1" s="329"/>
      <c r="G1" s="329"/>
      <c r="H1" s="329"/>
      <c r="I1" s="329"/>
      <c r="J1" s="329"/>
      <c r="K1" s="329"/>
      <c r="L1" s="329"/>
      <c r="M1" s="329"/>
      <c r="N1" s="329"/>
    </row>
    <row r="2" spans="1:17" ht="3.75" customHeight="1" x14ac:dyDescent="0.2">
      <c r="A2" s="248"/>
      <c r="B2" s="248"/>
      <c r="C2" s="248"/>
      <c r="D2" s="248"/>
      <c r="E2" s="1"/>
      <c r="F2" s="1"/>
      <c r="G2" s="1"/>
      <c r="H2" s="248"/>
      <c r="I2" s="248"/>
      <c r="J2" s="248"/>
      <c r="K2" s="248"/>
      <c r="L2" s="248"/>
      <c r="M2" s="248"/>
      <c r="N2" s="249"/>
    </row>
    <row r="3" spans="1:17" x14ac:dyDescent="0.2">
      <c r="A3" s="248"/>
      <c r="B3" s="330" t="s">
        <v>157</v>
      </c>
      <c r="C3" s="331"/>
      <c r="D3" s="331"/>
      <c r="E3" s="331"/>
      <c r="F3" s="331"/>
      <c r="G3" s="331"/>
      <c r="H3" s="331"/>
      <c r="I3" s="331"/>
      <c r="J3" s="331"/>
      <c r="K3" s="332"/>
      <c r="L3" s="248"/>
      <c r="M3" s="248"/>
      <c r="N3" s="249"/>
    </row>
    <row r="4" spans="1:17" ht="3" customHeight="1" x14ac:dyDescent="0.2">
      <c r="A4" s="248"/>
      <c r="B4" s="248"/>
      <c r="C4" s="248"/>
      <c r="D4" s="248"/>
      <c r="E4" s="1"/>
      <c r="F4" s="1"/>
      <c r="G4" s="1"/>
      <c r="H4" s="248"/>
      <c r="I4" s="248"/>
      <c r="J4" s="248"/>
      <c r="K4" s="248"/>
      <c r="L4" s="248"/>
      <c r="M4" s="248"/>
      <c r="N4" s="249"/>
    </row>
    <row r="5" spans="1:17" s="252" customFormat="1" ht="12.75" x14ac:dyDescent="0.2">
      <c r="A5" s="250"/>
      <c r="B5" s="251"/>
      <c r="C5" s="251"/>
      <c r="D5" s="251" t="s">
        <v>109</v>
      </c>
      <c r="E5" s="251"/>
      <c r="F5" s="251"/>
      <c r="G5" s="251"/>
      <c r="H5" s="251"/>
      <c r="I5" s="251"/>
      <c r="J5" s="251"/>
      <c r="K5" s="251"/>
      <c r="N5" s="317" t="s">
        <v>62</v>
      </c>
    </row>
    <row r="6" spans="1:17" s="259" customFormat="1" ht="15.75" customHeight="1" x14ac:dyDescent="0.2">
      <c r="A6" s="253">
        <v>0.5</v>
      </c>
      <c r="B6" s="254" t="s">
        <v>110</v>
      </c>
      <c r="C6" s="255"/>
      <c r="D6" s="254"/>
      <c r="E6" s="255"/>
      <c r="F6" s="255"/>
      <c r="G6" s="255"/>
      <c r="H6" s="255"/>
      <c r="I6" s="256"/>
      <c r="J6" s="256"/>
      <c r="K6" s="256"/>
      <c r="L6" s="257">
        <v>1</v>
      </c>
      <c r="M6" s="258"/>
      <c r="N6" s="317"/>
    </row>
    <row r="7" spans="1:17" s="259" customFormat="1" ht="15.75" customHeight="1" x14ac:dyDescent="0.2">
      <c r="A7" s="255"/>
      <c r="B7" s="255" t="s">
        <v>111</v>
      </c>
      <c r="C7" s="255" t="s">
        <v>112</v>
      </c>
      <c r="D7" s="255" t="s">
        <v>113</v>
      </c>
      <c r="E7" s="255" t="s">
        <v>114</v>
      </c>
      <c r="F7" s="255" t="s">
        <v>115</v>
      </c>
      <c r="G7" s="255" t="s">
        <v>116</v>
      </c>
      <c r="H7" s="260" t="s">
        <v>158</v>
      </c>
      <c r="I7" s="260" t="s">
        <v>159</v>
      </c>
      <c r="J7" s="260" t="s">
        <v>118</v>
      </c>
      <c r="K7" s="260" t="s">
        <v>119</v>
      </c>
      <c r="L7" s="257">
        <v>2</v>
      </c>
      <c r="M7" s="258" t="s">
        <v>120</v>
      </c>
      <c r="N7" s="317"/>
      <c r="P7" s="247"/>
      <c r="Q7" s="247"/>
    </row>
    <row r="8" spans="1:17" ht="15.75" customHeight="1" x14ac:dyDescent="0.2">
      <c r="A8" s="333" t="s">
        <v>121</v>
      </c>
      <c r="B8" s="261">
        <v>4</v>
      </c>
      <c r="C8" s="261" t="s">
        <v>160</v>
      </c>
      <c r="D8" s="261">
        <v>30</v>
      </c>
      <c r="E8" s="262" t="s">
        <v>161</v>
      </c>
      <c r="F8" s="263">
        <v>0</v>
      </c>
      <c r="G8" s="263">
        <v>10</v>
      </c>
      <c r="H8" s="263">
        <v>9</v>
      </c>
      <c r="I8" s="263">
        <v>7</v>
      </c>
      <c r="J8" s="263"/>
      <c r="K8" s="263"/>
      <c r="L8" s="257">
        <v>3</v>
      </c>
      <c r="M8" s="247" t="str">
        <f>""</f>
        <v/>
      </c>
      <c r="N8" s="317"/>
    </row>
    <row r="9" spans="1:17" ht="15.75" customHeight="1" x14ac:dyDescent="0.2">
      <c r="A9" s="333"/>
      <c r="B9" s="261">
        <v>4</v>
      </c>
      <c r="C9" s="261" t="s">
        <v>162</v>
      </c>
      <c r="D9" s="261">
        <v>30</v>
      </c>
      <c r="E9" s="261" t="s">
        <v>163</v>
      </c>
      <c r="F9" s="253">
        <v>0.1</v>
      </c>
      <c r="G9" s="253">
        <v>0.01</v>
      </c>
      <c r="H9" s="253">
        <v>0.03</v>
      </c>
      <c r="I9" s="253">
        <v>0.03</v>
      </c>
      <c r="J9" s="263"/>
      <c r="K9" s="263"/>
      <c r="L9" s="257">
        <v>4</v>
      </c>
      <c r="M9" s="258" t="s">
        <v>122</v>
      </c>
      <c r="N9" s="317"/>
    </row>
    <row r="10" spans="1:17" ht="15.75" customHeight="1" x14ac:dyDescent="0.2">
      <c r="A10" s="333"/>
      <c r="B10" s="261">
        <v>4</v>
      </c>
      <c r="C10" s="261" t="s">
        <v>164</v>
      </c>
      <c r="D10" s="261">
        <v>20</v>
      </c>
      <c r="E10" s="261" t="s">
        <v>163</v>
      </c>
      <c r="F10" s="253">
        <v>1</v>
      </c>
      <c r="G10" s="253">
        <v>0</v>
      </c>
      <c r="H10" s="253">
        <v>0.45</v>
      </c>
      <c r="I10" s="253">
        <v>0.6</v>
      </c>
      <c r="J10" s="263"/>
      <c r="K10" s="263"/>
      <c r="L10" s="257">
        <v>5</v>
      </c>
      <c r="M10" s="247" t="s">
        <v>123</v>
      </c>
      <c r="N10" s="317"/>
    </row>
    <row r="11" spans="1:17" ht="15.75" customHeight="1" x14ac:dyDescent="0.2">
      <c r="A11" s="333"/>
      <c r="B11" s="261">
        <v>4</v>
      </c>
      <c r="C11" s="261" t="s">
        <v>165</v>
      </c>
      <c r="D11" s="261">
        <v>20</v>
      </c>
      <c r="E11" s="261" t="s">
        <v>166</v>
      </c>
      <c r="F11" s="263">
        <v>500</v>
      </c>
      <c r="G11" s="263">
        <v>200</v>
      </c>
      <c r="H11" s="263">
        <v>280</v>
      </c>
      <c r="I11" s="263">
        <v>380</v>
      </c>
      <c r="J11" s="263"/>
      <c r="K11" s="263"/>
      <c r="L11" s="257">
        <v>6</v>
      </c>
      <c r="M11" s="247" t="s">
        <v>124</v>
      </c>
      <c r="N11" s="317"/>
    </row>
    <row r="12" spans="1:17" ht="15.75" customHeight="1" x14ac:dyDescent="0.2">
      <c r="A12" s="333"/>
      <c r="B12" s="261">
        <v>1</v>
      </c>
      <c r="C12" s="261"/>
      <c r="D12" s="261"/>
      <c r="E12" s="261"/>
      <c r="F12" s="263"/>
      <c r="G12" s="263"/>
      <c r="H12" s="263"/>
      <c r="I12" s="263"/>
      <c r="J12" s="263"/>
      <c r="K12" s="263"/>
      <c r="L12" s="257">
        <v>7</v>
      </c>
      <c r="M12" s="247" t="s">
        <v>125</v>
      </c>
      <c r="N12" s="317"/>
    </row>
    <row r="13" spans="1:17" ht="15.75" customHeight="1" x14ac:dyDescent="0.2">
      <c r="A13" s="333"/>
      <c r="B13" s="261">
        <v>1</v>
      </c>
      <c r="C13" s="261"/>
      <c r="D13" s="261"/>
      <c r="E13" s="261"/>
      <c r="F13" s="263"/>
      <c r="G13" s="263"/>
      <c r="H13" s="263"/>
      <c r="I13" s="263"/>
      <c r="J13" s="263"/>
      <c r="K13" s="263"/>
      <c r="L13" s="257">
        <v>8</v>
      </c>
      <c r="M13" s="247" t="s">
        <v>126</v>
      </c>
      <c r="N13" s="317"/>
    </row>
    <row r="14" spans="1:17" ht="15.75" customHeight="1" x14ac:dyDescent="0.2">
      <c r="A14" s="333"/>
      <c r="B14" s="261">
        <v>1</v>
      </c>
      <c r="C14" s="261"/>
      <c r="D14" s="261"/>
      <c r="E14" s="261"/>
      <c r="F14" s="263"/>
      <c r="G14" s="263"/>
      <c r="H14" s="263"/>
      <c r="I14" s="263"/>
      <c r="J14" s="263"/>
      <c r="K14" s="263"/>
      <c r="L14" s="257">
        <v>9</v>
      </c>
      <c r="M14" s="247" t="s">
        <v>127</v>
      </c>
      <c r="N14" s="317"/>
    </row>
    <row r="15" spans="1:17" ht="15.75" customHeight="1" x14ac:dyDescent="0.2">
      <c r="A15" s="333"/>
      <c r="B15" s="261">
        <v>1</v>
      </c>
      <c r="C15" s="261"/>
      <c r="D15" s="261"/>
      <c r="E15" s="261"/>
      <c r="F15" s="263"/>
      <c r="G15" s="263"/>
      <c r="H15" s="263"/>
      <c r="I15" s="263"/>
      <c r="J15" s="263"/>
      <c r="K15" s="263"/>
      <c r="L15" s="257">
        <v>10</v>
      </c>
      <c r="M15" s="247" t="s">
        <v>128</v>
      </c>
      <c r="N15" s="317"/>
    </row>
    <row r="16" spans="1:17" ht="3" customHeight="1" x14ac:dyDescent="0.2">
      <c r="A16" s="264"/>
      <c r="B16" s="1"/>
      <c r="C16" s="1"/>
      <c r="D16" s="1"/>
      <c r="E16" s="1"/>
      <c r="F16" s="1"/>
      <c r="G16" s="1"/>
      <c r="H16" s="1"/>
      <c r="I16" s="248" t="str">
        <f>""</f>
        <v/>
      </c>
      <c r="J16" s="1"/>
      <c r="K16" s="1"/>
      <c r="L16" s="257">
        <v>11</v>
      </c>
      <c r="M16" s="247" t="s">
        <v>129</v>
      </c>
      <c r="N16" s="317"/>
    </row>
    <row r="17" spans="1:17" s="252" customFormat="1" ht="12.75" x14ac:dyDescent="0.2">
      <c r="A17" s="250"/>
      <c r="B17" s="251"/>
      <c r="C17" s="251"/>
      <c r="D17" s="251" t="s">
        <v>130</v>
      </c>
      <c r="E17" s="251"/>
      <c r="F17" s="251"/>
      <c r="G17" s="251"/>
      <c r="H17" s="251"/>
      <c r="I17" s="251"/>
      <c r="J17" s="251"/>
      <c r="K17" s="251"/>
      <c r="L17" s="257">
        <v>12</v>
      </c>
      <c r="M17" s="247" t="str">
        <f>""</f>
        <v/>
      </c>
      <c r="N17" s="317"/>
    </row>
    <row r="18" spans="1:17" s="259" customFormat="1" ht="15.75" customHeight="1" x14ac:dyDescent="0.2">
      <c r="A18" s="253">
        <v>0.25</v>
      </c>
      <c r="B18" s="254" t="s">
        <v>131</v>
      </c>
      <c r="C18" s="255"/>
      <c r="D18" s="254"/>
      <c r="E18" s="255"/>
      <c r="F18" s="255" t="str">
        <f t="shared" ref="F18:K18" si="0">IF(F$6="","",F$6)</f>
        <v/>
      </c>
      <c r="G18" s="255" t="str">
        <f t="shared" si="0"/>
        <v/>
      </c>
      <c r="H18" s="255" t="str">
        <f t="shared" si="0"/>
        <v/>
      </c>
      <c r="I18" s="334" t="str">
        <f t="shared" si="0"/>
        <v/>
      </c>
      <c r="J18" s="334" t="str">
        <f t="shared" si="0"/>
        <v/>
      </c>
      <c r="K18" s="334" t="str">
        <f t="shared" si="0"/>
        <v/>
      </c>
      <c r="L18" s="257">
        <v>13</v>
      </c>
      <c r="M18" s="247" t="s">
        <v>132</v>
      </c>
      <c r="N18" s="317"/>
    </row>
    <row r="19" spans="1:17" s="259" customFormat="1" ht="15.75" customHeight="1" x14ac:dyDescent="0.2">
      <c r="A19" s="255"/>
      <c r="B19" s="255" t="s">
        <v>111</v>
      </c>
      <c r="C19" s="255" t="s">
        <v>112</v>
      </c>
      <c r="D19" s="255" t="s">
        <v>113</v>
      </c>
      <c r="E19" s="255" t="s">
        <v>114</v>
      </c>
      <c r="F19" s="255" t="s">
        <v>115</v>
      </c>
      <c r="G19" s="255" t="s">
        <v>116</v>
      </c>
      <c r="H19" s="255" t="str">
        <f>IF(H$7="","",H$7)</f>
        <v>COEX LDr Ref</v>
      </c>
      <c r="I19" s="255" t="str">
        <f>IF(I$7="","",I$7)</f>
        <v>ENABLE mPE alt.</v>
      </c>
      <c r="J19" s="255" t="str">
        <f>IF(J$7="","",J$7)</f>
        <v>EMC ALT. #2</v>
      </c>
      <c r="K19" s="255" t="str">
        <f>IF(K$7="","",K$7)</f>
        <v>EMC ALT. #3</v>
      </c>
      <c r="L19" s="257">
        <v>14</v>
      </c>
      <c r="M19" s="258" t="s">
        <v>133</v>
      </c>
      <c r="N19" s="317"/>
      <c r="P19" s="247"/>
      <c r="Q19" s="247"/>
    </row>
    <row r="20" spans="1:17" ht="15.75" customHeight="1" x14ac:dyDescent="0.2">
      <c r="A20" s="333" t="s">
        <v>121</v>
      </c>
      <c r="B20" s="253">
        <v>2</v>
      </c>
      <c r="C20" s="261" t="s">
        <v>167</v>
      </c>
      <c r="D20" s="265">
        <v>30</v>
      </c>
      <c r="E20" s="261" t="s">
        <v>168</v>
      </c>
      <c r="F20" s="263">
        <v>4</v>
      </c>
      <c r="G20" s="263">
        <v>0.5</v>
      </c>
      <c r="H20" s="263">
        <v>1</v>
      </c>
      <c r="I20" s="263">
        <v>1</v>
      </c>
      <c r="J20" s="263"/>
      <c r="K20" s="263"/>
      <c r="L20" s="257">
        <v>15</v>
      </c>
      <c r="M20" s="247" t="s">
        <v>134</v>
      </c>
      <c r="N20" s="317"/>
    </row>
    <row r="21" spans="1:17" ht="15.75" customHeight="1" x14ac:dyDescent="0.2">
      <c r="A21" s="333"/>
      <c r="B21" s="253">
        <v>2</v>
      </c>
      <c r="C21" s="261" t="s">
        <v>169</v>
      </c>
      <c r="D21" s="265">
        <v>20</v>
      </c>
      <c r="E21" s="262" t="s">
        <v>161</v>
      </c>
      <c r="F21" s="263">
        <v>0</v>
      </c>
      <c r="G21" s="263">
        <v>1</v>
      </c>
      <c r="H21" s="263">
        <v>1</v>
      </c>
      <c r="I21" s="263">
        <v>1</v>
      </c>
      <c r="J21" s="263"/>
      <c r="K21" s="263"/>
      <c r="L21" s="257">
        <v>16</v>
      </c>
      <c r="M21" s="258" t="s">
        <v>135</v>
      </c>
      <c r="N21" s="317"/>
    </row>
    <row r="22" spans="1:17" ht="15.75" customHeight="1" x14ac:dyDescent="0.2">
      <c r="A22" s="333"/>
      <c r="B22" s="253">
        <v>2</v>
      </c>
      <c r="C22" s="261" t="s">
        <v>170</v>
      </c>
      <c r="D22" s="265">
        <v>20</v>
      </c>
      <c r="E22" s="261" t="s">
        <v>171</v>
      </c>
      <c r="F22" s="263">
        <v>2</v>
      </c>
      <c r="G22" s="263">
        <v>0</v>
      </c>
      <c r="H22" s="263">
        <v>0</v>
      </c>
      <c r="I22" s="263">
        <v>0</v>
      </c>
      <c r="J22" s="263"/>
      <c r="K22" s="263"/>
      <c r="L22" s="257">
        <v>17</v>
      </c>
      <c r="M22" s="258" t="s">
        <v>136</v>
      </c>
      <c r="N22" s="317"/>
    </row>
    <row r="23" spans="1:17" ht="15.75" customHeight="1" x14ac:dyDescent="0.2">
      <c r="A23" s="333"/>
      <c r="B23" s="261">
        <v>2</v>
      </c>
      <c r="C23" s="261" t="s">
        <v>172</v>
      </c>
      <c r="D23" s="265">
        <v>10</v>
      </c>
      <c r="E23" s="261" t="s">
        <v>173</v>
      </c>
      <c r="F23" s="263">
        <v>210</v>
      </c>
      <c r="G23" s="263">
        <v>170</v>
      </c>
      <c r="H23" s="263">
        <v>190</v>
      </c>
      <c r="I23" s="263">
        <v>190</v>
      </c>
      <c r="J23" s="263"/>
      <c r="K23" s="263"/>
      <c r="L23" s="257">
        <v>18</v>
      </c>
      <c r="M23" s="258" t="s">
        <v>137</v>
      </c>
      <c r="N23" s="317"/>
    </row>
    <row r="24" spans="1:17" ht="15.75" customHeight="1" x14ac:dyDescent="0.2">
      <c r="A24" s="333"/>
      <c r="B24" s="261">
        <v>2</v>
      </c>
      <c r="C24" s="261" t="s">
        <v>174</v>
      </c>
      <c r="D24" s="265">
        <v>10</v>
      </c>
      <c r="E24" s="262" t="s">
        <v>161</v>
      </c>
      <c r="F24" s="263">
        <v>0</v>
      </c>
      <c r="G24" s="263">
        <v>10</v>
      </c>
      <c r="H24" s="263">
        <v>7</v>
      </c>
      <c r="I24" s="263">
        <v>7</v>
      </c>
      <c r="J24" s="263"/>
      <c r="K24" s="263"/>
      <c r="L24" s="257">
        <v>19</v>
      </c>
      <c r="M24" s="258" t="s">
        <v>138</v>
      </c>
      <c r="N24" s="317"/>
    </row>
    <row r="25" spans="1:17" ht="15.75" customHeight="1" x14ac:dyDescent="0.2">
      <c r="A25" s="333"/>
      <c r="B25" s="261">
        <v>2</v>
      </c>
      <c r="C25" s="261" t="s">
        <v>175</v>
      </c>
      <c r="D25" s="265">
        <v>10</v>
      </c>
      <c r="E25" s="262" t="s">
        <v>161</v>
      </c>
      <c r="F25" s="263">
        <v>0</v>
      </c>
      <c r="G25" s="263">
        <v>10</v>
      </c>
      <c r="H25" s="263">
        <v>7</v>
      </c>
      <c r="I25" s="263">
        <v>7</v>
      </c>
      <c r="J25" s="263"/>
      <c r="K25" s="263"/>
      <c r="L25" s="257">
        <v>20</v>
      </c>
      <c r="M25" s="247" t="s">
        <v>139</v>
      </c>
      <c r="N25" s="317"/>
    </row>
    <row r="26" spans="1:17" ht="15.75" customHeight="1" x14ac:dyDescent="0.2">
      <c r="A26" s="333"/>
      <c r="B26" s="261">
        <v>1</v>
      </c>
      <c r="C26" s="261"/>
      <c r="D26" s="265"/>
      <c r="E26" s="261"/>
      <c r="F26" s="263"/>
      <c r="G26" s="263"/>
      <c r="H26" s="263"/>
      <c r="I26" s="263"/>
      <c r="J26" s="263"/>
      <c r="K26" s="263"/>
      <c r="L26" s="257">
        <v>21</v>
      </c>
      <c r="M26" s="247" t="s">
        <v>140</v>
      </c>
      <c r="N26" s="317"/>
    </row>
    <row r="27" spans="1:17" ht="15.75" customHeight="1" x14ac:dyDescent="0.2">
      <c r="A27" s="333"/>
      <c r="B27" s="261">
        <v>1</v>
      </c>
      <c r="C27" s="261"/>
      <c r="D27" s="265"/>
      <c r="E27" s="261"/>
      <c r="F27" s="263"/>
      <c r="G27" s="263"/>
      <c r="H27" s="263"/>
      <c r="I27" s="263"/>
      <c r="J27" s="263"/>
      <c r="K27" s="263"/>
      <c r="L27" s="257">
        <v>22</v>
      </c>
      <c r="M27" s="247" t="str">
        <f>""</f>
        <v/>
      </c>
      <c r="N27" s="317"/>
    </row>
    <row r="28" spans="1:17" ht="3" customHeight="1" x14ac:dyDescent="0.2">
      <c r="A28" s="264"/>
      <c r="B28" s="1"/>
      <c r="C28" s="1"/>
      <c r="D28" s="1"/>
      <c r="E28" s="1"/>
      <c r="F28" s="1"/>
      <c r="G28" s="1"/>
      <c r="H28" s="1"/>
      <c r="I28" s="1"/>
      <c r="J28" s="1"/>
      <c r="K28" s="1"/>
      <c r="L28" s="257">
        <v>23</v>
      </c>
      <c r="M28" s="247" t="s">
        <v>141</v>
      </c>
      <c r="N28" s="317"/>
    </row>
    <row r="29" spans="1:17" s="252" customFormat="1" ht="12.75" x14ac:dyDescent="0.2">
      <c r="A29" s="250"/>
      <c r="B29" s="251"/>
      <c r="C29" s="251"/>
      <c r="D29" s="251" t="s">
        <v>142</v>
      </c>
      <c r="E29" s="251"/>
      <c r="F29" s="251"/>
      <c r="G29" s="251"/>
      <c r="H29" s="251"/>
      <c r="I29" s="251"/>
      <c r="J29" s="251"/>
      <c r="K29" s="251"/>
      <c r="N29" s="317"/>
    </row>
    <row r="30" spans="1:17" s="259" customFormat="1" ht="15.75" customHeight="1" x14ac:dyDescent="0.2">
      <c r="A30" s="253">
        <v>0.25</v>
      </c>
      <c r="B30" s="254" t="s">
        <v>143</v>
      </c>
      <c r="C30" s="255"/>
      <c r="D30" s="254"/>
      <c r="E30" s="255"/>
      <c r="F30" s="255" t="str">
        <f t="shared" ref="F30:K30" si="1">IF(F$6="","",F$6)</f>
        <v/>
      </c>
      <c r="G30" s="255" t="str">
        <f t="shared" si="1"/>
        <v/>
      </c>
      <c r="H30" s="255" t="str">
        <f t="shared" si="1"/>
        <v/>
      </c>
      <c r="I30" s="334" t="str">
        <f t="shared" si="1"/>
        <v/>
      </c>
      <c r="J30" s="334" t="str">
        <f t="shared" si="1"/>
        <v/>
      </c>
      <c r="K30" s="334" t="str">
        <f t="shared" si="1"/>
        <v/>
      </c>
      <c r="N30" s="317"/>
    </row>
    <row r="31" spans="1:17" s="259" customFormat="1" ht="15.75" customHeight="1" x14ac:dyDescent="0.2">
      <c r="A31" s="255"/>
      <c r="B31" s="255" t="s">
        <v>111</v>
      </c>
      <c r="C31" s="255" t="s">
        <v>112</v>
      </c>
      <c r="D31" s="255" t="s">
        <v>113</v>
      </c>
      <c r="E31" s="255" t="s">
        <v>114</v>
      </c>
      <c r="F31" s="255" t="s">
        <v>115</v>
      </c>
      <c r="G31" s="255" t="s">
        <v>116</v>
      </c>
      <c r="H31" s="255" t="str">
        <f>IF(H$7="","",H$7)</f>
        <v>COEX LDr Ref</v>
      </c>
      <c r="I31" s="255" t="str">
        <f>IF(I$7="","",I$7)</f>
        <v>ENABLE mPE alt.</v>
      </c>
      <c r="J31" s="255" t="str">
        <f>IF(J$7="","",J$7)</f>
        <v>EMC ALT. #2</v>
      </c>
      <c r="K31" s="255" t="str">
        <f>IF(K$7="","",K$7)</f>
        <v>EMC ALT. #3</v>
      </c>
      <c r="N31" s="317"/>
    </row>
    <row r="32" spans="1:17" ht="15.75" customHeight="1" x14ac:dyDescent="0.2">
      <c r="A32" s="333" t="s">
        <v>121</v>
      </c>
      <c r="B32" s="261">
        <v>17</v>
      </c>
      <c r="C32" s="261" t="s">
        <v>176</v>
      </c>
      <c r="D32" s="261">
        <v>50</v>
      </c>
      <c r="E32" s="261" t="s">
        <v>177</v>
      </c>
      <c r="F32" s="263">
        <v>0.8</v>
      </c>
      <c r="G32" s="263">
        <v>1.6</v>
      </c>
      <c r="H32" s="263">
        <v>0.9</v>
      </c>
      <c r="I32" s="263">
        <v>0.9</v>
      </c>
      <c r="J32" s="263"/>
      <c r="K32" s="263"/>
      <c r="N32" s="317"/>
    </row>
    <row r="33" spans="1:14" ht="15.75" customHeight="1" x14ac:dyDescent="0.2">
      <c r="A33" s="333"/>
      <c r="B33" s="261">
        <v>17</v>
      </c>
      <c r="C33" s="261" t="s">
        <v>178</v>
      </c>
      <c r="D33" s="261">
        <v>20</v>
      </c>
      <c r="E33" s="261" t="s">
        <v>179</v>
      </c>
      <c r="F33" s="263">
        <v>50</v>
      </c>
      <c r="G33" s="263">
        <v>200</v>
      </c>
      <c r="H33" s="263">
        <v>65</v>
      </c>
      <c r="I33" s="263">
        <v>75</v>
      </c>
      <c r="J33" s="263"/>
      <c r="K33" s="263"/>
      <c r="N33" s="317"/>
    </row>
    <row r="34" spans="1:14" ht="15.75" customHeight="1" x14ac:dyDescent="0.2">
      <c r="A34" s="333"/>
      <c r="B34" s="261">
        <v>17</v>
      </c>
      <c r="C34" s="261" t="s">
        <v>180</v>
      </c>
      <c r="D34" s="261">
        <v>20</v>
      </c>
      <c r="E34" s="261" t="s">
        <v>32</v>
      </c>
      <c r="F34" s="263">
        <v>50</v>
      </c>
      <c r="G34" s="263">
        <v>0</v>
      </c>
      <c r="H34" s="263">
        <v>40</v>
      </c>
      <c r="I34" s="263">
        <v>30</v>
      </c>
      <c r="J34" s="263"/>
      <c r="K34" s="263"/>
      <c r="N34" s="317"/>
    </row>
    <row r="35" spans="1:14" ht="15.75" customHeight="1" x14ac:dyDescent="0.2">
      <c r="A35" s="333"/>
      <c r="B35" s="261">
        <v>17</v>
      </c>
      <c r="C35" s="261" t="s">
        <v>181</v>
      </c>
      <c r="D35" s="261">
        <v>10</v>
      </c>
      <c r="E35" s="261" t="s">
        <v>163</v>
      </c>
      <c r="F35" s="253">
        <v>0.5</v>
      </c>
      <c r="G35" s="253">
        <v>0.95</v>
      </c>
      <c r="H35" s="253">
        <v>0.9</v>
      </c>
      <c r="I35" s="253">
        <v>0.9</v>
      </c>
      <c r="J35" s="263"/>
      <c r="K35" s="263"/>
      <c r="N35" s="317"/>
    </row>
    <row r="36" spans="1:14" ht="15.75" customHeight="1" x14ac:dyDescent="0.2">
      <c r="A36" s="333"/>
      <c r="B36" s="261">
        <v>1</v>
      </c>
      <c r="C36" s="261"/>
      <c r="D36" s="261"/>
      <c r="E36" s="261"/>
      <c r="F36" s="263"/>
      <c r="G36" s="263"/>
      <c r="H36" s="263"/>
      <c r="I36" s="263"/>
      <c r="J36" s="263"/>
      <c r="K36" s="263"/>
      <c r="N36" s="317"/>
    </row>
    <row r="37" spans="1:14" ht="15.75" customHeight="1" x14ac:dyDescent="0.2">
      <c r="A37" s="333"/>
      <c r="B37" s="261">
        <v>1</v>
      </c>
      <c r="C37" s="261"/>
      <c r="D37" s="261"/>
      <c r="E37" s="261"/>
      <c r="F37" s="263"/>
      <c r="G37" s="263"/>
      <c r="H37" s="263"/>
      <c r="I37" s="263"/>
      <c r="J37" s="263"/>
      <c r="K37" s="263"/>
      <c r="N37" s="317"/>
    </row>
    <row r="38" spans="1:14" ht="15.75" customHeight="1" x14ac:dyDescent="0.2">
      <c r="A38" s="333"/>
      <c r="B38" s="261">
        <v>1</v>
      </c>
      <c r="C38" s="261"/>
      <c r="D38" s="261"/>
      <c r="E38" s="261"/>
      <c r="F38" s="263"/>
      <c r="G38" s="263"/>
      <c r="H38" s="263"/>
      <c r="I38" s="263"/>
      <c r="J38" s="263"/>
      <c r="K38" s="263"/>
      <c r="N38" s="317"/>
    </row>
    <row r="39" spans="1:14" ht="15.75" customHeight="1" x14ac:dyDescent="0.2">
      <c r="A39" s="333"/>
      <c r="B39" s="261">
        <v>1</v>
      </c>
      <c r="C39" s="261"/>
      <c r="D39" s="261"/>
      <c r="E39" s="261"/>
      <c r="F39" s="263"/>
      <c r="G39" s="263"/>
      <c r="H39" s="263"/>
      <c r="I39" s="263"/>
      <c r="J39" s="263"/>
      <c r="K39" s="263"/>
      <c r="N39" s="317"/>
    </row>
    <row r="40" spans="1:14" s="269" customFormat="1" ht="15.75" customHeight="1" x14ac:dyDescent="0.2">
      <c r="A40" s="266">
        <f>IF(A30+A18+A6&lt;&gt;100%,"!! SUM OF WEIGHTS NOT EQUAL TO 100% !!",SUM(A6,A18,A30))</f>
        <v>1</v>
      </c>
      <c r="B40" s="267"/>
      <c r="C40" s="267"/>
      <c r="D40" s="267"/>
      <c r="E40" s="267"/>
      <c r="F40" s="268"/>
      <c r="G40" s="268"/>
      <c r="H40" s="268"/>
      <c r="I40" s="268"/>
      <c r="J40" s="268"/>
      <c r="K40" s="268"/>
      <c r="N40" s="317"/>
    </row>
    <row r="41" spans="1:14" s="274" customFormat="1" x14ac:dyDescent="0.2">
      <c r="A41" s="270" t="s">
        <v>144</v>
      </c>
      <c r="B41" s="271"/>
      <c r="C41" s="271"/>
      <c r="D41" s="271"/>
      <c r="E41" s="271"/>
      <c r="F41" s="8"/>
      <c r="G41" s="8"/>
      <c r="H41" s="8"/>
      <c r="I41" s="8"/>
      <c r="J41" s="8"/>
      <c r="K41" s="8"/>
      <c r="L41" s="272"/>
      <c r="M41" s="272"/>
      <c r="N41" s="273"/>
    </row>
    <row r="42" spans="1:14" ht="18" customHeight="1" x14ac:dyDescent="0.2">
      <c r="A42" s="335" t="s">
        <v>145</v>
      </c>
      <c r="B42" s="275"/>
      <c r="C42" s="9"/>
      <c r="D42" s="275"/>
      <c r="E42" s="276"/>
      <c r="F42" s="277" t="s">
        <v>146</v>
      </c>
      <c r="G42" s="277"/>
      <c r="H42" s="277"/>
      <c r="I42" s="277"/>
      <c r="J42" s="277"/>
      <c r="K42" s="277"/>
      <c r="N42" s="337" t="s">
        <v>145</v>
      </c>
    </row>
    <row r="43" spans="1:14" ht="12.75" x14ac:dyDescent="0.2">
      <c r="A43" s="336"/>
      <c r="B43" s="9"/>
      <c r="C43" s="9"/>
      <c r="D43" s="9"/>
      <c r="E43" s="276"/>
      <c r="F43" s="259" t="str">
        <f t="shared" ref="F43:K43" si="2">IF(F$7="","",F$7)</f>
        <v>MINIMUM</v>
      </c>
      <c r="G43" s="259" t="str">
        <f t="shared" si="2"/>
        <v>MAXIMUM</v>
      </c>
      <c r="H43" s="259" t="str">
        <f t="shared" si="2"/>
        <v>COEX LDr Ref</v>
      </c>
      <c r="I43" s="259" t="str">
        <f t="shared" si="2"/>
        <v>ENABLE mPE alt.</v>
      </c>
      <c r="J43" s="259" t="str">
        <f t="shared" si="2"/>
        <v>EMC ALT. #2</v>
      </c>
      <c r="K43" s="259" t="str">
        <f t="shared" si="2"/>
        <v>EMC ALT. #3</v>
      </c>
      <c r="N43" s="338"/>
    </row>
    <row r="44" spans="1:14" ht="12.75" customHeight="1" x14ac:dyDescent="0.2">
      <c r="A44" s="336"/>
      <c r="D44" s="304" t="s">
        <v>147</v>
      </c>
      <c r="E44" s="276"/>
      <c r="F44" s="278">
        <f t="shared" ref="F44:K49" si="3">IF($H85&lt;&gt;0,F85/$H85,"")</f>
        <v>0</v>
      </c>
      <c r="G44" s="278">
        <f t="shared" si="3"/>
        <v>1.3157894736842106</v>
      </c>
      <c r="H44" s="278">
        <f t="shared" si="3"/>
        <v>1</v>
      </c>
      <c r="I44" s="303">
        <f t="shared" si="3"/>
        <v>0.79385964912280726</v>
      </c>
      <c r="J44" s="278">
        <f t="shared" si="3"/>
        <v>0</v>
      </c>
      <c r="K44" s="278">
        <f t="shared" si="3"/>
        <v>0</v>
      </c>
      <c r="N44" s="338"/>
    </row>
    <row r="45" spans="1:14" ht="12.75" x14ac:dyDescent="0.2">
      <c r="A45" s="336"/>
      <c r="D45" s="257" t="s">
        <v>148</v>
      </c>
      <c r="E45" s="276"/>
      <c r="F45" s="278">
        <f t="shared" si="3"/>
        <v>0</v>
      </c>
      <c r="G45" s="278">
        <f t="shared" si="3"/>
        <v>1.1804384485666104</v>
      </c>
      <c r="H45" s="278">
        <f t="shared" si="3"/>
        <v>1</v>
      </c>
      <c r="I45" s="278">
        <f t="shared" si="3"/>
        <v>1</v>
      </c>
      <c r="J45" s="278">
        <f t="shared" si="3"/>
        <v>0</v>
      </c>
      <c r="K45" s="278">
        <f t="shared" si="3"/>
        <v>0</v>
      </c>
      <c r="N45" s="338"/>
    </row>
    <row r="46" spans="1:14" ht="13.5" thickBot="1" x14ac:dyDescent="0.25">
      <c r="A46" s="336"/>
      <c r="D46" s="257" t="s">
        <v>149</v>
      </c>
      <c r="E46" s="276"/>
      <c r="F46" s="278">
        <f t="shared" si="3"/>
        <v>0</v>
      </c>
      <c r="G46" s="278">
        <f t="shared" si="3"/>
        <v>4.730617608409986</v>
      </c>
      <c r="H46" s="278">
        <f t="shared" si="3"/>
        <v>1</v>
      </c>
      <c r="I46" s="278">
        <f t="shared" si="3"/>
        <v>1.2522996057818661</v>
      </c>
      <c r="J46" s="278">
        <f t="shared" si="3"/>
        <v>0</v>
      </c>
      <c r="K46" s="278">
        <f t="shared" si="3"/>
        <v>0</v>
      </c>
      <c r="N46" s="338"/>
    </row>
    <row r="47" spans="1:14" ht="13.5" thickBot="1" x14ac:dyDescent="0.25">
      <c r="A47" s="336"/>
      <c r="B47" s="279"/>
      <c r="C47" s="279"/>
      <c r="D47" s="280" t="s">
        <v>150</v>
      </c>
      <c r="E47" s="281"/>
      <c r="F47" s="282">
        <f t="shared" si="3"/>
        <v>0</v>
      </c>
      <c r="G47" s="282">
        <f t="shared" si="3"/>
        <v>1.5512704104402961</v>
      </c>
      <c r="H47" s="282">
        <f t="shared" si="3"/>
        <v>1</v>
      </c>
      <c r="I47" s="283">
        <f t="shared" si="3"/>
        <v>0.89916742332138089</v>
      </c>
      <c r="J47" s="283">
        <f t="shared" si="3"/>
        <v>0</v>
      </c>
      <c r="K47" s="283">
        <f t="shared" si="3"/>
        <v>0</v>
      </c>
      <c r="N47" s="338"/>
    </row>
    <row r="48" spans="1:14" ht="12.75" x14ac:dyDescent="0.2">
      <c r="A48" s="336"/>
      <c r="D48" s="257" t="s">
        <v>151</v>
      </c>
      <c r="E48" s="276"/>
      <c r="F48" s="278">
        <f t="shared" si="3"/>
        <v>0</v>
      </c>
      <c r="G48" s="278">
        <f t="shared" si="3"/>
        <v>1.2673506336753169</v>
      </c>
      <c r="H48" s="278">
        <f t="shared" si="3"/>
        <v>1</v>
      </c>
      <c r="I48" s="278">
        <f t="shared" si="3"/>
        <v>0.86763226714946706</v>
      </c>
      <c r="J48" s="278">
        <f t="shared" si="3"/>
        <v>0</v>
      </c>
      <c r="K48" s="278">
        <f t="shared" si="3"/>
        <v>0</v>
      </c>
      <c r="N48" s="338"/>
    </row>
    <row r="49" spans="1:14" x14ac:dyDescent="0.2">
      <c r="A49" s="336"/>
      <c r="D49" s="304" t="s">
        <v>152</v>
      </c>
      <c r="E49" s="276"/>
      <c r="F49" s="278">
        <f t="shared" si="3"/>
        <v>0</v>
      </c>
      <c r="G49" s="278">
        <f t="shared" si="3"/>
        <v>1.8894095595126521</v>
      </c>
      <c r="H49" s="278">
        <f t="shared" si="3"/>
        <v>1</v>
      </c>
      <c r="I49" s="303">
        <f t="shared" si="3"/>
        <v>1.0503842549203373</v>
      </c>
      <c r="J49" s="278">
        <f t="shared" si="3"/>
        <v>0</v>
      </c>
      <c r="K49" s="278">
        <f t="shared" si="3"/>
        <v>0</v>
      </c>
      <c r="N49" s="338"/>
    </row>
    <row r="50" spans="1:14" ht="3" customHeight="1" x14ac:dyDescent="0.2">
      <c r="A50" s="336"/>
      <c r="B50" s="284"/>
      <c r="C50" s="284"/>
      <c r="D50" s="284"/>
      <c r="E50" s="284"/>
      <c r="F50" s="284"/>
      <c r="G50" s="284"/>
      <c r="H50" s="284"/>
      <c r="I50" s="284"/>
      <c r="J50" s="284"/>
      <c r="K50" s="284"/>
      <c r="N50" s="338"/>
    </row>
    <row r="51" spans="1:14" x14ac:dyDescent="0.2">
      <c r="A51" s="285" t="s">
        <v>153</v>
      </c>
      <c r="B51" s="286"/>
      <c r="C51" s="286"/>
      <c r="D51" s="286"/>
      <c r="E51" s="286"/>
      <c r="F51" s="286"/>
      <c r="G51" s="286"/>
      <c r="H51" s="286"/>
      <c r="I51" s="286"/>
      <c r="J51" s="286"/>
      <c r="K51" s="286"/>
      <c r="L51" s="287"/>
      <c r="M51" s="287"/>
      <c r="N51" s="288"/>
    </row>
    <row r="52" spans="1:14" s="252" customFormat="1" ht="12.75" x14ac:dyDescent="0.2">
      <c r="A52" s="339" t="s">
        <v>154</v>
      </c>
      <c r="B52" s="277"/>
      <c r="C52" s="281"/>
      <c r="D52" s="277" t="s">
        <v>147</v>
      </c>
      <c r="E52" s="281"/>
      <c r="F52" s="281"/>
      <c r="G52" s="281"/>
      <c r="H52" s="281"/>
      <c r="I52" s="281"/>
      <c r="J52" s="281"/>
      <c r="K52" s="281"/>
      <c r="N52" s="341" t="s">
        <v>154</v>
      </c>
    </row>
    <row r="53" spans="1:14" s="259" customFormat="1" ht="12.75" x14ac:dyDescent="0.2">
      <c r="A53" s="340"/>
      <c r="B53" s="289" t="s">
        <v>111</v>
      </c>
      <c r="C53" s="259" t="s">
        <v>112</v>
      </c>
      <c r="D53" s="259" t="s">
        <v>113</v>
      </c>
      <c r="E53" s="290"/>
      <c r="F53" s="259" t="str">
        <f t="shared" ref="F53:K53" si="4">IF(F$7="","",F$7)</f>
        <v>MINIMUM</v>
      </c>
      <c r="G53" s="259" t="str">
        <f t="shared" si="4"/>
        <v>MAXIMUM</v>
      </c>
      <c r="H53" s="259" t="str">
        <f t="shared" si="4"/>
        <v>COEX LDr Ref</v>
      </c>
      <c r="I53" s="259" t="str">
        <f t="shared" si="4"/>
        <v>ENABLE mPE alt.</v>
      </c>
      <c r="J53" s="259" t="str">
        <f t="shared" si="4"/>
        <v>EMC ALT. #2</v>
      </c>
      <c r="K53" s="259" t="str">
        <f t="shared" si="4"/>
        <v>EMC ALT. #3</v>
      </c>
      <c r="N53" s="342"/>
    </row>
    <row r="54" spans="1:14" ht="12.75" customHeight="1" x14ac:dyDescent="0.2">
      <c r="A54" s="340"/>
      <c r="B54" s="291" t="str">
        <f t="shared" ref="B54:B61" si="5">IF(B8&lt;&gt;"",VLOOKUP(B8,L$6:M$28,2),"")</f>
        <v>MAXIMIZE PRODUCTION RATES</v>
      </c>
      <c r="C54" s="291" t="str">
        <f t="shared" ref="C54:C61" si="6">IF(C8&lt;&gt;"",C8,"")</f>
        <v>BUBBLE STABILITY</v>
      </c>
      <c r="D54" s="292">
        <f t="shared" ref="D54:D61" si="7">IF(D8&lt;&gt;"",D8*A$6/SUM(D$8:D$15),"")</f>
        <v>0.15</v>
      </c>
      <c r="E54" s="293"/>
      <c r="F54" s="292">
        <f t="shared" ref="F54:F61" si="8">IF(D54="","",IF($F8=$G8,"! MIN = MAX !",IF(AND($F8="",$G8&lt;&gt;""),"MIN VALUE ?",IF(F8&lt;&gt;"",0,""))))</f>
        <v>0</v>
      </c>
      <c r="G54" s="292">
        <f t="shared" ref="G54:G61" si="9">IF(D54="","",IF($F8=$G8,"! MIN = MAX !",IF(AND($G8="",$F8&lt;&gt;""),"MAX VALUE ?",IF(G8&lt;&gt;"",1,""))))</f>
        <v>1</v>
      </c>
      <c r="H54" s="292">
        <f t="shared" ref="H54:K61" si="10">IF(H8="","",IF((H8-$F8)/($G8-$F8)&lt;0,0,IF((H8-$F8)/($G8-$F8)&gt;1,1,(H8-$F8)/($G8-$F8))))</f>
        <v>0.9</v>
      </c>
      <c r="I54" s="292">
        <f t="shared" si="10"/>
        <v>0.7</v>
      </c>
      <c r="J54" s="292" t="str">
        <f t="shared" si="10"/>
        <v/>
      </c>
      <c r="K54" s="292" t="str">
        <f t="shared" si="10"/>
        <v/>
      </c>
      <c r="N54" s="342"/>
    </row>
    <row r="55" spans="1:14" ht="12.75" x14ac:dyDescent="0.2">
      <c r="A55" s="340"/>
      <c r="B55" s="291" t="str">
        <f t="shared" si="5"/>
        <v>MAXIMIZE PRODUCTION RATES</v>
      </c>
      <c r="C55" s="291" t="str">
        <f t="shared" si="6"/>
        <v>THICKNESS DISTRIBUTION</v>
      </c>
      <c r="D55" s="292">
        <f t="shared" si="7"/>
        <v>0.15</v>
      </c>
      <c r="E55" s="293"/>
      <c r="F55" s="292">
        <f t="shared" si="8"/>
        <v>0</v>
      </c>
      <c r="G55" s="292">
        <f t="shared" si="9"/>
        <v>1</v>
      </c>
      <c r="H55" s="292">
        <f t="shared" si="10"/>
        <v>0.77777777777777779</v>
      </c>
      <c r="I55" s="292">
        <f t="shared" si="10"/>
        <v>0.77777777777777779</v>
      </c>
      <c r="J55" s="292" t="str">
        <f t="shared" si="10"/>
        <v/>
      </c>
      <c r="K55" s="292" t="str">
        <f t="shared" si="10"/>
        <v/>
      </c>
      <c r="N55" s="342"/>
    </row>
    <row r="56" spans="1:14" ht="12.75" x14ac:dyDescent="0.2">
      <c r="A56" s="340"/>
      <c r="B56" s="291" t="str">
        <f t="shared" si="5"/>
        <v>MAXIMIZE PRODUCTION RATES</v>
      </c>
      <c r="C56" s="291" t="str">
        <f t="shared" si="6"/>
        <v>MOTOR LOAD</v>
      </c>
      <c r="D56" s="292">
        <f t="shared" si="7"/>
        <v>0.1</v>
      </c>
      <c r="E56" s="293"/>
      <c r="F56" s="292">
        <f t="shared" si="8"/>
        <v>0</v>
      </c>
      <c r="G56" s="292">
        <f t="shared" si="9"/>
        <v>1</v>
      </c>
      <c r="H56" s="292">
        <f t="shared" si="10"/>
        <v>0.55000000000000004</v>
      </c>
      <c r="I56" s="292">
        <f t="shared" si="10"/>
        <v>0.4</v>
      </c>
      <c r="J56" s="292" t="str">
        <f t="shared" si="10"/>
        <v/>
      </c>
      <c r="K56" s="292" t="str">
        <f t="shared" si="10"/>
        <v/>
      </c>
      <c r="N56" s="342"/>
    </row>
    <row r="57" spans="1:14" ht="12.75" x14ac:dyDescent="0.2">
      <c r="A57" s="340"/>
      <c r="B57" s="291" t="str">
        <f t="shared" si="5"/>
        <v>MAXIMIZE PRODUCTION RATES</v>
      </c>
      <c r="C57" s="291" t="str">
        <f t="shared" si="6"/>
        <v>PRESSURE</v>
      </c>
      <c r="D57" s="292">
        <f t="shared" si="7"/>
        <v>0.1</v>
      </c>
      <c r="E57" s="293"/>
      <c r="F57" s="292">
        <f t="shared" si="8"/>
        <v>0</v>
      </c>
      <c r="G57" s="292">
        <f t="shared" si="9"/>
        <v>1</v>
      </c>
      <c r="H57" s="292">
        <f t="shared" si="10"/>
        <v>0.73333333333333328</v>
      </c>
      <c r="I57" s="292">
        <f t="shared" si="10"/>
        <v>0.4</v>
      </c>
      <c r="J57" s="292" t="str">
        <f t="shared" si="10"/>
        <v/>
      </c>
      <c r="K57" s="292" t="str">
        <f t="shared" si="10"/>
        <v/>
      </c>
      <c r="N57" s="342"/>
    </row>
    <row r="58" spans="1:14" ht="12.75" x14ac:dyDescent="0.2">
      <c r="A58" s="340"/>
      <c r="B58" s="291">
        <f t="shared" si="5"/>
        <v>0</v>
      </c>
      <c r="C58" s="291" t="str">
        <f t="shared" si="6"/>
        <v/>
      </c>
      <c r="D58" s="292" t="str">
        <f t="shared" si="7"/>
        <v/>
      </c>
      <c r="E58" s="293"/>
      <c r="F58" s="292" t="str">
        <f t="shared" si="8"/>
        <v/>
      </c>
      <c r="G58" s="292" t="str">
        <f t="shared" si="9"/>
        <v/>
      </c>
      <c r="H58" s="292" t="str">
        <f t="shared" si="10"/>
        <v/>
      </c>
      <c r="I58" s="292" t="str">
        <f t="shared" si="10"/>
        <v/>
      </c>
      <c r="J58" s="292" t="str">
        <f t="shared" si="10"/>
        <v/>
      </c>
      <c r="K58" s="292" t="str">
        <f t="shared" si="10"/>
        <v/>
      </c>
      <c r="N58" s="342"/>
    </row>
    <row r="59" spans="1:14" ht="12.75" x14ac:dyDescent="0.2">
      <c r="A59" s="340"/>
      <c r="B59" s="291">
        <f t="shared" si="5"/>
        <v>0</v>
      </c>
      <c r="C59" s="291" t="str">
        <f t="shared" si="6"/>
        <v/>
      </c>
      <c r="D59" s="292" t="str">
        <f t="shared" si="7"/>
        <v/>
      </c>
      <c r="E59" s="293"/>
      <c r="F59" s="292" t="str">
        <f t="shared" si="8"/>
        <v/>
      </c>
      <c r="G59" s="292" t="str">
        <f t="shared" si="9"/>
        <v/>
      </c>
      <c r="H59" s="292" t="str">
        <f t="shared" si="10"/>
        <v/>
      </c>
      <c r="I59" s="292" t="str">
        <f t="shared" si="10"/>
        <v/>
      </c>
      <c r="J59" s="292" t="str">
        <f t="shared" si="10"/>
        <v/>
      </c>
      <c r="K59" s="292" t="str">
        <f t="shared" si="10"/>
        <v/>
      </c>
      <c r="N59" s="342"/>
    </row>
    <row r="60" spans="1:14" ht="12.75" x14ac:dyDescent="0.2">
      <c r="A60" s="340"/>
      <c r="B60" s="291">
        <f t="shared" si="5"/>
        <v>0</v>
      </c>
      <c r="C60" s="291" t="str">
        <f t="shared" si="6"/>
        <v/>
      </c>
      <c r="D60" s="292" t="str">
        <f t="shared" si="7"/>
        <v/>
      </c>
      <c r="E60" s="293"/>
      <c r="F60" s="292" t="str">
        <f t="shared" si="8"/>
        <v/>
      </c>
      <c r="G60" s="292" t="str">
        <f t="shared" si="9"/>
        <v/>
      </c>
      <c r="H60" s="292" t="str">
        <f t="shared" si="10"/>
        <v/>
      </c>
      <c r="I60" s="292" t="str">
        <f t="shared" si="10"/>
        <v/>
      </c>
      <c r="J60" s="292" t="str">
        <f t="shared" si="10"/>
        <v/>
      </c>
      <c r="K60" s="292" t="str">
        <f t="shared" si="10"/>
        <v/>
      </c>
      <c r="N60" s="342"/>
    </row>
    <row r="61" spans="1:14" ht="12.75" x14ac:dyDescent="0.2">
      <c r="A61" s="340"/>
      <c r="B61" s="291">
        <f t="shared" si="5"/>
        <v>0</v>
      </c>
      <c r="C61" s="291" t="str">
        <f t="shared" si="6"/>
        <v/>
      </c>
      <c r="D61" s="292" t="str">
        <f t="shared" si="7"/>
        <v/>
      </c>
      <c r="E61" s="293"/>
      <c r="F61" s="292" t="str">
        <f t="shared" si="8"/>
        <v/>
      </c>
      <c r="G61" s="292" t="str">
        <f t="shared" si="9"/>
        <v/>
      </c>
      <c r="H61" s="292" t="str">
        <f t="shared" si="10"/>
        <v/>
      </c>
      <c r="I61" s="292" t="str">
        <f t="shared" si="10"/>
        <v/>
      </c>
      <c r="J61" s="292" t="str">
        <f t="shared" si="10"/>
        <v/>
      </c>
      <c r="K61" s="292" t="str">
        <f t="shared" si="10"/>
        <v/>
      </c>
      <c r="N61" s="342"/>
    </row>
    <row r="62" spans="1:14" s="252" customFormat="1" ht="12.75" x14ac:dyDescent="0.2">
      <c r="A62" s="340"/>
      <c r="B62" s="277"/>
      <c r="C62" s="281"/>
      <c r="D62" s="277" t="s">
        <v>148</v>
      </c>
      <c r="E62" s="281"/>
      <c r="F62" s="281"/>
      <c r="G62" s="281"/>
      <c r="H62" s="281"/>
      <c r="I62" s="281"/>
      <c r="J62" s="281"/>
      <c r="K62" s="281"/>
      <c r="N62" s="342"/>
    </row>
    <row r="63" spans="1:14" s="259" customFormat="1" ht="12.75" x14ac:dyDescent="0.2">
      <c r="A63" s="340"/>
      <c r="B63" s="289" t="s">
        <v>111</v>
      </c>
      <c r="C63" s="259" t="s">
        <v>112</v>
      </c>
      <c r="D63" s="259" t="s">
        <v>113</v>
      </c>
      <c r="E63" s="290"/>
      <c r="F63" s="259" t="str">
        <f t="shared" ref="F63:K63" si="11">IF(F$7="","",F$7)</f>
        <v>MINIMUM</v>
      </c>
      <c r="G63" s="259" t="str">
        <f t="shared" si="11"/>
        <v>MAXIMUM</v>
      </c>
      <c r="H63" s="259" t="str">
        <f t="shared" si="11"/>
        <v>COEX LDr Ref</v>
      </c>
      <c r="I63" s="259" t="str">
        <f t="shared" si="11"/>
        <v>ENABLE mPE alt.</v>
      </c>
      <c r="J63" s="259" t="str">
        <f t="shared" si="11"/>
        <v>EMC ALT. #2</v>
      </c>
      <c r="K63" s="259" t="str">
        <f t="shared" si="11"/>
        <v>EMC ALT. #3</v>
      </c>
      <c r="N63" s="342"/>
    </row>
    <row r="64" spans="1:14" ht="12.75" x14ac:dyDescent="0.2">
      <c r="A64" s="340"/>
      <c r="B64" s="291" t="str">
        <f t="shared" ref="B64:B71" si="12">IF(B20&lt;&gt;"",VLOOKUP(B20,L$6:M$28,2),"")</f>
        <v>MATCH NBA PERFORMANCE</v>
      </c>
      <c r="C64" s="291" t="str">
        <f t="shared" ref="C64:C71" si="13">IF(C20&lt;&gt;"",C20,"")</f>
        <v>CUTTING</v>
      </c>
      <c r="D64" s="292">
        <f t="shared" ref="D64:D71" si="14">IF(D20&lt;&gt;"",D20*A$18/SUM(D$20:D$27),"")</f>
        <v>7.4999999999999997E-2</v>
      </c>
      <c r="E64" s="293"/>
      <c r="F64" s="292">
        <f t="shared" ref="F64:F71" si="15">IF(D64="","",IF($F20=$G20,"! MIN = MAX !",IF(AND($F20="",$G20&lt;&gt;""),"MIN VALUE ?",IF(F20&lt;&gt;"",0,""))))</f>
        <v>0</v>
      </c>
      <c r="G64" s="292">
        <f t="shared" ref="G64:G71" si="16">IF(D64="","",IF($F20=$G20,"! MIN = MAX !",IF(AND($G20="",$F20&lt;&gt;""),"MAX VALUE ?",IF(G20&lt;&gt;"",1,""))))</f>
        <v>1</v>
      </c>
      <c r="H64" s="292">
        <f t="shared" ref="H64:K71" si="17">IF(H20="","",IF((H20-$F20)/($G20-$F20)&lt;0,0,IF((H20-$F20)/($G20-$F20)&gt;1,1,(H20-$F20)/($G20-$F20))))</f>
        <v>0.8571428571428571</v>
      </c>
      <c r="I64" s="292">
        <f t="shared" si="17"/>
        <v>0.8571428571428571</v>
      </c>
      <c r="J64" s="292" t="str">
        <f t="shared" si="17"/>
        <v/>
      </c>
      <c r="K64" s="292" t="str">
        <f t="shared" si="17"/>
        <v/>
      </c>
      <c r="N64" s="342"/>
    </row>
    <row r="65" spans="1:14" ht="12.75" x14ac:dyDescent="0.2">
      <c r="A65" s="340"/>
      <c r="B65" s="291" t="str">
        <f t="shared" si="12"/>
        <v>MATCH NBA PERFORMANCE</v>
      </c>
      <c r="C65" s="291" t="str">
        <f t="shared" si="13"/>
        <v>STATIC ELECTRICITY</v>
      </c>
      <c r="D65" s="292">
        <f t="shared" si="14"/>
        <v>0.05</v>
      </c>
      <c r="E65" s="293"/>
      <c r="F65" s="292">
        <f t="shared" si="15"/>
        <v>0</v>
      </c>
      <c r="G65" s="292">
        <f t="shared" si="16"/>
        <v>1</v>
      </c>
      <c r="H65" s="292">
        <f t="shared" si="17"/>
        <v>1</v>
      </c>
      <c r="I65" s="292">
        <f t="shared" si="17"/>
        <v>1</v>
      </c>
      <c r="J65" s="292" t="str">
        <f t="shared" si="17"/>
        <v/>
      </c>
      <c r="K65" s="292" t="str">
        <f t="shared" si="17"/>
        <v/>
      </c>
      <c r="N65" s="342"/>
    </row>
    <row r="66" spans="1:14" ht="12.75" x14ac:dyDescent="0.2">
      <c r="A66" s="340"/>
      <c r="B66" s="291" t="str">
        <f t="shared" si="12"/>
        <v>MATCH NBA PERFORMANCE</v>
      </c>
      <c r="C66" s="291" t="str">
        <f t="shared" si="13"/>
        <v>HOLE FORMATION RESISTANCE</v>
      </c>
      <c r="D66" s="292">
        <f t="shared" si="14"/>
        <v>0.05</v>
      </c>
      <c r="E66" s="293"/>
      <c r="F66" s="292">
        <f t="shared" si="15"/>
        <v>0</v>
      </c>
      <c r="G66" s="292">
        <f t="shared" si="16"/>
        <v>1</v>
      </c>
      <c r="H66" s="292">
        <f t="shared" si="17"/>
        <v>1</v>
      </c>
      <c r="I66" s="292">
        <f t="shared" si="17"/>
        <v>1</v>
      </c>
      <c r="J66" s="292" t="str">
        <f t="shared" si="17"/>
        <v/>
      </c>
      <c r="K66" s="292" t="str">
        <f t="shared" si="17"/>
        <v/>
      </c>
      <c r="N66" s="342"/>
    </row>
    <row r="67" spans="1:14" ht="12.75" x14ac:dyDescent="0.2">
      <c r="A67" s="340"/>
      <c r="B67" s="291" t="str">
        <f t="shared" si="12"/>
        <v>MATCH NBA PERFORMANCE</v>
      </c>
      <c r="C67" s="291" t="str">
        <f t="shared" si="13"/>
        <v>OVEN TEMPERATURE</v>
      </c>
      <c r="D67" s="292">
        <f t="shared" si="14"/>
        <v>2.5000000000000001E-2</v>
      </c>
      <c r="E67" s="293"/>
      <c r="F67" s="292">
        <f t="shared" si="15"/>
        <v>0</v>
      </c>
      <c r="G67" s="292">
        <f t="shared" si="16"/>
        <v>1</v>
      </c>
      <c r="H67" s="292">
        <f t="shared" si="17"/>
        <v>0.5</v>
      </c>
      <c r="I67" s="292">
        <f t="shared" si="17"/>
        <v>0.5</v>
      </c>
      <c r="J67" s="292" t="str">
        <f t="shared" si="17"/>
        <v/>
      </c>
      <c r="K67" s="292" t="str">
        <f t="shared" si="17"/>
        <v/>
      </c>
      <c r="N67" s="342"/>
    </row>
    <row r="68" spans="1:14" ht="12.75" x14ac:dyDescent="0.2">
      <c r="A68" s="340"/>
      <c r="B68" s="291" t="str">
        <f t="shared" si="12"/>
        <v>MATCH NBA PERFORMANCE</v>
      </c>
      <c r="C68" s="291" t="str">
        <f t="shared" si="13"/>
        <v>BULL'S EYE SHAPE</v>
      </c>
      <c r="D68" s="292">
        <f t="shared" si="14"/>
        <v>2.5000000000000001E-2</v>
      </c>
      <c r="E68" s="293"/>
      <c r="F68" s="292">
        <f t="shared" si="15"/>
        <v>0</v>
      </c>
      <c r="G68" s="292">
        <f t="shared" si="16"/>
        <v>1</v>
      </c>
      <c r="H68" s="292">
        <f t="shared" si="17"/>
        <v>0.7</v>
      </c>
      <c r="I68" s="292">
        <f t="shared" si="17"/>
        <v>0.7</v>
      </c>
      <c r="J68" s="292" t="str">
        <f t="shared" si="17"/>
        <v/>
      </c>
      <c r="K68" s="292" t="str">
        <f t="shared" si="17"/>
        <v/>
      </c>
      <c r="N68" s="342"/>
    </row>
    <row r="69" spans="1:14" ht="12.75" x14ac:dyDescent="0.2">
      <c r="A69" s="340"/>
      <c r="B69" s="291" t="str">
        <f t="shared" si="12"/>
        <v>MATCH NBA PERFORMANCE</v>
      </c>
      <c r="C69" s="291" t="str">
        <f t="shared" si="13"/>
        <v>WRINKLES</v>
      </c>
      <c r="D69" s="292">
        <f t="shared" si="14"/>
        <v>2.5000000000000001E-2</v>
      </c>
      <c r="E69" s="293"/>
      <c r="F69" s="292">
        <f t="shared" si="15"/>
        <v>0</v>
      </c>
      <c r="G69" s="292">
        <f t="shared" si="16"/>
        <v>1</v>
      </c>
      <c r="H69" s="292">
        <f t="shared" si="17"/>
        <v>0.7</v>
      </c>
      <c r="I69" s="292">
        <f t="shared" si="17"/>
        <v>0.7</v>
      </c>
      <c r="J69" s="292" t="str">
        <f t="shared" si="17"/>
        <v/>
      </c>
      <c r="K69" s="292" t="str">
        <f t="shared" si="17"/>
        <v/>
      </c>
      <c r="N69" s="342"/>
    </row>
    <row r="70" spans="1:14" ht="12.75" x14ac:dyDescent="0.2">
      <c r="A70" s="340"/>
      <c r="B70" s="291">
        <f t="shared" si="12"/>
        <v>0</v>
      </c>
      <c r="C70" s="291" t="str">
        <f t="shared" si="13"/>
        <v/>
      </c>
      <c r="D70" s="292" t="str">
        <f t="shared" si="14"/>
        <v/>
      </c>
      <c r="E70" s="293"/>
      <c r="F70" s="292" t="str">
        <f t="shared" si="15"/>
        <v/>
      </c>
      <c r="G70" s="292" t="str">
        <f t="shared" si="16"/>
        <v/>
      </c>
      <c r="H70" s="292" t="str">
        <f t="shared" si="17"/>
        <v/>
      </c>
      <c r="I70" s="292" t="str">
        <f t="shared" si="17"/>
        <v/>
      </c>
      <c r="J70" s="292" t="str">
        <f t="shared" si="17"/>
        <v/>
      </c>
      <c r="K70" s="292" t="str">
        <f t="shared" si="17"/>
        <v/>
      </c>
      <c r="N70" s="342"/>
    </row>
    <row r="71" spans="1:14" ht="12.75" x14ac:dyDescent="0.2">
      <c r="A71" s="340"/>
      <c r="B71" s="291">
        <f t="shared" si="12"/>
        <v>0</v>
      </c>
      <c r="C71" s="291" t="str">
        <f t="shared" si="13"/>
        <v/>
      </c>
      <c r="D71" s="292" t="str">
        <f t="shared" si="14"/>
        <v/>
      </c>
      <c r="E71" s="293"/>
      <c r="F71" s="292" t="str">
        <f t="shared" si="15"/>
        <v/>
      </c>
      <c r="G71" s="292" t="str">
        <f t="shared" si="16"/>
        <v/>
      </c>
      <c r="H71" s="292" t="str">
        <f t="shared" si="17"/>
        <v/>
      </c>
      <c r="I71" s="292" t="str">
        <f t="shared" si="17"/>
        <v/>
      </c>
      <c r="J71" s="292" t="str">
        <f t="shared" si="17"/>
        <v/>
      </c>
      <c r="K71" s="292" t="str">
        <f t="shared" si="17"/>
        <v/>
      </c>
      <c r="N71" s="342"/>
    </row>
    <row r="72" spans="1:14" s="252" customFormat="1" ht="12.75" x14ac:dyDescent="0.2">
      <c r="A72" s="340"/>
      <c r="B72" s="277"/>
      <c r="C72" s="281"/>
      <c r="D72" s="277" t="s">
        <v>149</v>
      </c>
      <c r="E72" s="281"/>
      <c r="F72" s="281"/>
      <c r="G72" s="281"/>
      <c r="H72" s="281"/>
      <c r="I72" s="281"/>
      <c r="J72" s="281"/>
      <c r="K72" s="281"/>
      <c r="N72" s="342"/>
    </row>
    <row r="73" spans="1:14" s="259" customFormat="1" ht="12.75" x14ac:dyDescent="0.2">
      <c r="A73" s="340"/>
      <c r="B73" s="289" t="s">
        <v>111</v>
      </c>
      <c r="C73" s="259" t="s">
        <v>112</v>
      </c>
      <c r="D73" s="259" t="s">
        <v>113</v>
      </c>
      <c r="E73" s="290"/>
      <c r="F73" s="259" t="str">
        <f t="shared" ref="F73:K73" si="18">IF(F$7="","",F$7)</f>
        <v>MINIMUM</v>
      </c>
      <c r="G73" s="259" t="str">
        <f t="shared" si="18"/>
        <v>MAXIMUM</v>
      </c>
      <c r="H73" s="259" t="str">
        <f t="shared" si="18"/>
        <v>COEX LDr Ref</v>
      </c>
      <c r="I73" s="259" t="str">
        <f t="shared" si="18"/>
        <v>ENABLE mPE alt.</v>
      </c>
      <c r="J73" s="259" t="str">
        <f t="shared" si="18"/>
        <v>EMC ALT. #2</v>
      </c>
      <c r="K73" s="259" t="str">
        <f t="shared" si="18"/>
        <v>EMC ALT. #3</v>
      </c>
      <c r="N73" s="342"/>
    </row>
    <row r="74" spans="1:14" ht="12.75" x14ac:dyDescent="0.2">
      <c r="A74" s="340"/>
      <c r="B74" s="291" t="str">
        <f t="shared" ref="B74:B81" si="19">IF(B32&lt;&gt;"",VLOOKUP(B32,L$6:M$28,2),"")</f>
        <v>IMPROVE PACKAGE STABILITY</v>
      </c>
      <c r="C74" s="291" t="str">
        <f t="shared" ref="C74:C81" si="20">IF(C32&lt;&gt;"",C32,"")</f>
        <v>HOLDING FORCE</v>
      </c>
      <c r="D74" s="292">
        <f t="shared" ref="D74:D81" si="21">IF(D32&lt;&gt;"",D32*A$30/SUM(D$32:D$39),"")</f>
        <v>0.125</v>
      </c>
      <c r="E74" s="293"/>
      <c r="F74" s="292">
        <f t="shared" ref="F74:F81" si="22">IF(D74="","",IF($F32=$G32,"! MIN = MAX !",IF(AND($F32="",$G32&lt;&gt;""),"MIN VALUE ?",IF(F32&lt;&gt;"",0,""))))</f>
        <v>0</v>
      </c>
      <c r="G74" s="292">
        <f t="shared" ref="G74:G81" si="23">IF(D74="","",IF($F32=$G32,"! MIN = MAX !",IF(AND($G32="",$F32&lt;&gt;""),"MAX VALUE ?",IF(G32&lt;&gt;"",1,""))))</f>
        <v>1</v>
      </c>
      <c r="H74" s="292">
        <f t="shared" ref="H74:K81" si="24">IF(H32="","",IF((H32-$F32)/($G32-$F32)&lt;0,0,IF((H32-$F32)/($G32-$F32)&gt;1,1,(H32-$F32)/($G32-$F32))))</f>
        <v>0.12499999999999997</v>
      </c>
      <c r="I74" s="292">
        <f t="shared" si="24"/>
        <v>0.12499999999999997</v>
      </c>
      <c r="J74" s="292" t="str">
        <f t="shared" si="24"/>
        <v/>
      </c>
      <c r="K74" s="292" t="str">
        <f t="shared" si="24"/>
        <v/>
      </c>
      <c r="N74" s="342"/>
    </row>
    <row r="75" spans="1:14" ht="12.75" x14ac:dyDescent="0.2">
      <c r="A75" s="340"/>
      <c r="B75" s="291" t="str">
        <f t="shared" si="19"/>
        <v>IMPROVE PACKAGE STABILITY</v>
      </c>
      <c r="C75" s="291" t="str">
        <f t="shared" si="20"/>
        <v>PUNCTURE RESISTANCE</v>
      </c>
      <c r="D75" s="292">
        <f t="shared" si="21"/>
        <v>0.05</v>
      </c>
      <c r="E75" s="293"/>
      <c r="F75" s="292">
        <f t="shared" si="22"/>
        <v>0</v>
      </c>
      <c r="G75" s="292">
        <f t="shared" si="23"/>
        <v>1</v>
      </c>
      <c r="H75" s="292">
        <f t="shared" si="24"/>
        <v>0.1</v>
      </c>
      <c r="I75" s="292">
        <f t="shared" si="24"/>
        <v>0.16666666666666666</v>
      </c>
      <c r="J75" s="292" t="str">
        <f t="shared" si="24"/>
        <v/>
      </c>
      <c r="K75" s="292" t="str">
        <f t="shared" si="24"/>
        <v/>
      </c>
      <c r="N75" s="342"/>
    </row>
    <row r="76" spans="1:14" ht="12.75" x14ac:dyDescent="0.2">
      <c r="A76" s="340"/>
      <c r="B76" s="291" t="str">
        <f t="shared" si="19"/>
        <v>IMPROVE PACKAGE STABILITY</v>
      </c>
      <c r="C76" s="291" t="str">
        <f t="shared" si="20"/>
        <v>FILM THICKNESS</v>
      </c>
      <c r="D76" s="292">
        <f t="shared" si="21"/>
        <v>0.05</v>
      </c>
      <c r="E76" s="293"/>
      <c r="F76" s="292">
        <f t="shared" si="22"/>
        <v>0</v>
      </c>
      <c r="G76" s="292">
        <f t="shared" si="23"/>
        <v>1</v>
      </c>
      <c r="H76" s="292">
        <f t="shared" si="24"/>
        <v>0.2</v>
      </c>
      <c r="I76" s="292">
        <f t="shared" si="24"/>
        <v>0.4</v>
      </c>
      <c r="J76" s="292" t="str">
        <f t="shared" si="24"/>
        <v/>
      </c>
      <c r="K76" s="292" t="str">
        <f t="shared" si="24"/>
        <v/>
      </c>
      <c r="N76" s="342"/>
    </row>
    <row r="77" spans="1:14" ht="12.75" x14ac:dyDescent="0.2">
      <c r="A77" s="340"/>
      <c r="B77" s="291" t="str">
        <f t="shared" si="19"/>
        <v>IMPROVE PACKAGE STABILITY</v>
      </c>
      <c r="C77" s="291" t="str">
        <f t="shared" si="20"/>
        <v>GLOSS</v>
      </c>
      <c r="D77" s="292">
        <f t="shared" si="21"/>
        <v>2.5000000000000001E-2</v>
      </c>
      <c r="E77" s="293"/>
      <c r="F77" s="292">
        <f t="shared" si="22"/>
        <v>0</v>
      </c>
      <c r="G77" s="292">
        <f t="shared" si="23"/>
        <v>1</v>
      </c>
      <c r="H77" s="292">
        <f t="shared" si="24"/>
        <v>0.88888888888888906</v>
      </c>
      <c r="I77" s="292">
        <f t="shared" si="24"/>
        <v>0.88888888888888906</v>
      </c>
      <c r="J77" s="292" t="str">
        <f t="shared" si="24"/>
        <v/>
      </c>
      <c r="K77" s="292" t="str">
        <f t="shared" si="24"/>
        <v/>
      </c>
      <c r="N77" s="342"/>
    </row>
    <row r="78" spans="1:14" ht="12.75" x14ac:dyDescent="0.2">
      <c r="A78" s="340"/>
      <c r="B78" s="291">
        <f t="shared" si="19"/>
        <v>0</v>
      </c>
      <c r="C78" s="291" t="str">
        <f t="shared" si="20"/>
        <v/>
      </c>
      <c r="D78" s="292" t="str">
        <f t="shared" si="21"/>
        <v/>
      </c>
      <c r="E78" s="293"/>
      <c r="F78" s="292" t="str">
        <f t="shared" si="22"/>
        <v/>
      </c>
      <c r="G78" s="292" t="str">
        <f t="shared" si="23"/>
        <v/>
      </c>
      <c r="H78" s="292" t="str">
        <f t="shared" si="24"/>
        <v/>
      </c>
      <c r="I78" s="292" t="str">
        <f t="shared" si="24"/>
        <v/>
      </c>
      <c r="J78" s="292" t="str">
        <f t="shared" si="24"/>
        <v/>
      </c>
      <c r="K78" s="292" t="str">
        <f t="shared" si="24"/>
        <v/>
      </c>
      <c r="N78" s="342"/>
    </row>
    <row r="79" spans="1:14" ht="12.75" x14ac:dyDescent="0.2">
      <c r="A79" s="340"/>
      <c r="B79" s="291">
        <f t="shared" si="19"/>
        <v>0</v>
      </c>
      <c r="C79" s="291" t="str">
        <f t="shared" si="20"/>
        <v/>
      </c>
      <c r="D79" s="292" t="str">
        <f t="shared" si="21"/>
        <v/>
      </c>
      <c r="E79" s="293"/>
      <c r="F79" s="292" t="str">
        <f t="shared" si="22"/>
        <v/>
      </c>
      <c r="G79" s="292" t="str">
        <f t="shared" si="23"/>
        <v/>
      </c>
      <c r="H79" s="292" t="str">
        <f t="shared" si="24"/>
        <v/>
      </c>
      <c r="I79" s="292" t="str">
        <f t="shared" si="24"/>
        <v/>
      </c>
      <c r="J79" s="292" t="str">
        <f t="shared" si="24"/>
        <v/>
      </c>
      <c r="K79" s="292" t="str">
        <f t="shared" si="24"/>
        <v/>
      </c>
      <c r="N79" s="342"/>
    </row>
    <row r="80" spans="1:14" ht="12.75" x14ac:dyDescent="0.2">
      <c r="A80" s="340"/>
      <c r="B80" s="291">
        <f t="shared" si="19"/>
        <v>0</v>
      </c>
      <c r="C80" s="291" t="str">
        <f t="shared" si="20"/>
        <v/>
      </c>
      <c r="D80" s="292" t="str">
        <f t="shared" si="21"/>
        <v/>
      </c>
      <c r="E80" s="293"/>
      <c r="F80" s="292" t="str">
        <f t="shared" si="22"/>
        <v/>
      </c>
      <c r="G80" s="292" t="str">
        <f t="shared" si="23"/>
        <v/>
      </c>
      <c r="H80" s="292" t="str">
        <f t="shared" si="24"/>
        <v/>
      </c>
      <c r="I80" s="292" t="str">
        <f t="shared" si="24"/>
        <v/>
      </c>
      <c r="J80" s="292" t="str">
        <f t="shared" si="24"/>
        <v/>
      </c>
      <c r="K80" s="292" t="str">
        <f t="shared" si="24"/>
        <v/>
      </c>
      <c r="N80" s="342"/>
    </row>
    <row r="81" spans="1:14" ht="12.75" x14ac:dyDescent="0.2">
      <c r="A81" s="340"/>
      <c r="B81" s="291">
        <f t="shared" si="19"/>
        <v>0</v>
      </c>
      <c r="C81" s="291" t="str">
        <f t="shared" si="20"/>
        <v/>
      </c>
      <c r="D81" s="292" t="str">
        <f t="shared" si="21"/>
        <v/>
      </c>
      <c r="E81" s="293"/>
      <c r="F81" s="292" t="str">
        <f t="shared" si="22"/>
        <v/>
      </c>
      <c r="G81" s="292" t="str">
        <f t="shared" si="23"/>
        <v/>
      </c>
      <c r="H81" s="292" t="str">
        <f t="shared" si="24"/>
        <v/>
      </c>
      <c r="I81" s="292" t="str">
        <f t="shared" si="24"/>
        <v/>
      </c>
      <c r="J81" s="292" t="str">
        <f t="shared" si="24"/>
        <v/>
      </c>
      <c r="K81" s="292" t="str">
        <f t="shared" si="24"/>
        <v/>
      </c>
      <c r="N81" s="342"/>
    </row>
    <row r="82" spans="1:14" ht="3" customHeight="1" x14ac:dyDescent="0.2">
      <c r="A82" s="340"/>
      <c r="B82" s="9"/>
      <c r="C82" s="9"/>
      <c r="D82" s="9"/>
      <c r="E82" s="276"/>
      <c r="F82" s="9"/>
      <c r="G82" s="9"/>
      <c r="H82" s="9"/>
      <c r="I82" s="9"/>
      <c r="J82" s="9"/>
      <c r="K82" s="9"/>
      <c r="N82" s="342"/>
    </row>
    <row r="83" spans="1:14" ht="12.75" x14ac:dyDescent="0.2">
      <c r="A83" s="340"/>
      <c r="B83" s="279"/>
      <c r="C83" s="279"/>
      <c r="D83" s="279" t="s">
        <v>155</v>
      </c>
      <c r="E83" s="276"/>
      <c r="F83" s="343" t="s">
        <v>156</v>
      </c>
      <c r="G83" s="343"/>
      <c r="H83" s="343"/>
      <c r="I83" s="343"/>
      <c r="J83" s="343"/>
      <c r="K83" s="343"/>
      <c r="N83" s="342"/>
    </row>
    <row r="84" spans="1:14" ht="12.75" x14ac:dyDescent="0.2">
      <c r="A84" s="340"/>
      <c r="B84" s="252"/>
      <c r="D84" s="252"/>
      <c r="E84" s="276"/>
      <c r="F84" s="259" t="str">
        <f t="shared" ref="F84:K84" si="25">IF(F$7="","",F$7)</f>
        <v>MINIMUM</v>
      </c>
      <c r="G84" s="259" t="str">
        <f t="shared" si="25"/>
        <v>MAXIMUM</v>
      </c>
      <c r="H84" s="259" t="str">
        <f t="shared" si="25"/>
        <v>COEX LDr Ref</v>
      </c>
      <c r="I84" s="259" t="str">
        <f t="shared" si="25"/>
        <v>ENABLE mPE alt.</v>
      </c>
      <c r="J84" s="259" t="str">
        <f t="shared" si="25"/>
        <v>EMC ALT. #2</v>
      </c>
      <c r="K84" s="259" t="str">
        <f t="shared" si="25"/>
        <v>EMC ALT. #3</v>
      </c>
      <c r="N84" s="342"/>
    </row>
    <row r="85" spans="1:14" ht="12.75" x14ac:dyDescent="0.2">
      <c r="A85" s="340"/>
      <c r="D85" s="257" t="s">
        <v>147</v>
      </c>
      <c r="E85" s="276"/>
      <c r="F85" s="292">
        <f t="shared" ref="F85:K85" si="26">SUMPRODUCT($D54:$D61,F54:F61)</f>
        <v>0</v>
      </c>
      <c r="G85" s="292">
        <f t="shared" si="26"/>
        <v>0.5</v>
      </c>
      <c r="H85" s="292">
        <f t="shared" si="26"/>
        <v>0.38</v>
      </c>
      <c r="I85" s="292">
        <f t="shared" si="26"/>
        <v>0.30166666666666675</v>
      </c>
      <c r="J85" s="292">
        <f t="shared" si="26"/>
        <v>0</v>
      </c>
      <c r="K85" s="292">
        <f t="shared" si="26"/>
        <v>0</v>
      </c>
      <c r="N85" s="342"/>
    </row>
    <row r="86" spans="1:14" ht="12.75" x14ac:dyDescent="0.2">
      <c r="A86" s="340"/>
      <c r="D86" s="257" t="s">
        <v>148</v>
      </c>
      <c r="E86" s="276"/>
      <c r="F86" s="292">
        <f t="shared" ref="F86:K86" si="27">SUMPRODUCT($D64:$D71,F64:F71)</f>
        <v>0</v>
      </c>
      <c r="G86" s="292">
        <f t="shared" si="27"/>
        <v>0.24999999999999997</v>
      </c>
      <c r="H86" s="292">
        <f t="shared" si="27"/>
        <v>0.21178571428571427</v>
      </c>
      <c r="I86" s="292">
        <f t="shared" si="27"/>
        <v>0.21178571428571427</v>
      </c>
      <c r="J86" s="292">
        <f t="shared" si="27"/>
        <v>0</v>
      </c>
      <c r="K86" s="292">
        <f t="shared" si="27"/>
        <v>0</v>
      </c>
      <c r="N86" s="342"/>
    </row>
    <row r="87" spans="1:14" ht="12.75" x14ac:dyDescent="0.2">
      <c r="A87" s="340"/>
      <c r="D87" s="257" t="s">
        <v>149</v>
      </c>
      <c r="E87" s="276"/>
      <c r="F87" s="292">
        <f t="shared" ref="F87:K87" si="28">SUMPRODUCT($D74:$D81,F74:F81)</f>
        <v>0</v>
      </c>
      <c r="G87" s="292">
        <f t="shared" si="28"/>
        <v>0.24999999999999997</v>
      </c>
      <c r="H87" s="292">
        <f t="shared" si="28"/>
        <v>5.2847222222222226E-2</v>
      </c>
      <c r="I87" s="292">
        <f t="shared" si="28"/>
        <v>6.6180555555555562E-2</v>
      </c>
      <c r="J87" s="292">
        <f t="shared" si="28"/>
        <v>0</v>
      </c>
      <c r="K87" s="292">
        <f t="shared" si="28"/>
        <v>0</v>
      </c>
      <c r="N87" s="342"/>
    </row>
    <row r="88" spans="1:14" ht="12.75" x14ac:dyDescent="0.2">
      <c r="A88" s="340"/>
      <c r="B88" s="294"/>
      <c r="C88" s="252"/>
      <c r="D88" s="280" t="s">
        <v>150</v>
      </c>
      <c r="E88" s="281"/>
      <c r="F88" s="295">
        <f t="shared" ref="F88:K88" si="29">SUM(F85:F87)</f>
        <v>0</v>
      </c>
      <c r="G88" s="295">
        <f t="shared" si="29"/>
        <v>1</v>
      </c>
      <c r="H88" s="295">
        <f t="shared" si="29"/>
        <v>0.64463293650793652</v>
      </c>
      <c r="I88" s="295">
        <f t="shared" si="29"/>
        <v>0.57963293650793657</v>
      </c>
      <c r="J88" s="295">
        <f t="shared" si="29"/>
        <v>0</v>
      </c>
      <c r="K88" s="295">
        <f t="shared" si="29"/>
        <v>0</v>
      </c>
      <c r="N88" s="342"/>
    </row>
    <row r="89" spans="1:14" ht="12.75" x14ac:dyDescent="0.2">
      <c r="A89" s="340"/>
      <c r="D89" s="257" t="s">
        <v>151</v>
      </c>
      <c r="E89" s="276"/>
      <c r="F89" s="292">
        <f t="shared" ref="F89:K90" si="30">F85+F86</f>
        <v>0</v>
      </c>
      <c r="G89" s="292">
        <f t="shared" si="30"/>
        <v>0.75</v>
      </c>
      <c r="H89" s="292">
        <f t="shared" si="30"/>
        <v>0.59178571428571425</v>
      </c>
      <c r="I89" s="292">
        <f t="shared" si="30"/>
        <v>0.51345238095238099</v>
      </c>
      <c r="J89" s="292">
        <f t="shared" si="30"/>
        <v>0</v>
      </c>
      <c r="K89" s="292">
        <f t="shared" si="30"/>
        <v>0</v>
      </c>
      <c r="N89" s="342"/>
    </row>
    <row r="90" spans="1:14" ht="12.75" x14ac:dyDescent="0.2">
      <c r="A90" s="340"/>
      <c r="D90" s="257" t="s">
        <v>152</v>
      </c>
      <c r="E90" s="276"/>
      <c r="F90" s="292">
        <f t="shared" si="30"/>
        <v>0</v>
      </c>
      <c r="G90" s="292">
        <f t="shared" si="30"/>
        <v>0.49999999999999994</v>
      </c>
      <c r="H90" s="292">
        <f t="shared" si="30"/>
        <v>0.26463293650793651</v>
      </c>
      <c r="I90" s="292">
        <f t="shared" si="30"/>
        <v>0.27796626984126982</v>
      </c>
      <c r="J90" s="292">
        <f t="shared" si="30"/>
        <v>0</v>
      </c>
      <c r="K90" s="292">
        <f t="shared" si="30"/>
        <v>0</v>
      </c>
      <c r="N90" s="342"/>
    </row>
    <row r="91" spans="1:14" ht="3" customHeight="1" x14ac:dyDescent="0.2">
      <c r="A91" s="9"/>
      <c r="B91" s="9"/>
      <c r="C91" s="9"/>
      <c r="D91" s="9"/>
      <c r="E91" s="276"/>
      <c r="F91" s="276"/>
      <c r="G91" s="276"/>
      <c r="H91" s="9"/>
      <c r="I91" s="9"/>
      <c r="J91" s="9"/>
      <c r="K91" s="9"/>
      <c r="N91" s="296"/>
    </row>
  </sheetData>
  <sheetProtection algorithmName="SHA-512" hashValue="6c2AyITvL/xXFP6kbipw8d3CQQkunuBp2Y9Mdf9+KkPNrJ39tZ+9VgpndR7pL7nVBW1WUGhIDM6C3VpU0kbLZw==" saltValue="vwFrxMV+q25Jd7LGw12Wtg==" spinCount="100000" sheet="1" objects="1" scenarios="1" selectLockedCells="1"/>
  <mergeCells count="13">
    <mergeCell ref="A42:A50"/>
    <mergeCell ref="N42:N50"/>
    <mergeCell ref="A52:A90"/>
    <mergeCell ref="N52:N90"/>
    <mergeCell ref="F83:K83"/>
    <mergeCell ref="A1:N1"/>
    <mergeCell ref="B3:K3"/>
    <mergeCell ref="N5:N40"/>
    <mergeCell ref="A8:A15"/>
    <mergeCell ref="I18:K18"/>
    <mergeCell ref="A20:A27"/>
    <mergeCell ref="I30:K30"/>
    <mergeCell ref="A32:A39"/>
  </mergeCells>
  <conditionalFormatting sqref="H64:K71 H74:K81 H54:K61">
    <cfRule type="cellIs" dxfId="5" priority="1" stopIfTrue="1" operator="lessThanOrEqual">
      <formula>$F54</formula>
    </cfRule>
    <cfRule type="cellIs" dxfId="4" priority="2" stopIfTrue="1" operator="greaterThanOrEqual">
      <formula>$G54</formula>
    </cfRule>
    <cfRule type="cellIs" dxfId="3" priority="3" stopIfTrue="1" operator="between">
      <formula>$F54</formula>
      <formula>$G54</formula>
    </cfRule>
  </conditionalFormatting>
  <conditionalFormatting sqref="F64:F70 F54:F60">
    <cfRule type="cellIs" dxfId="2" priority="4" stopIfTrue="1" operator="notEqual">
      <formula>0</formula>
    </cfRule>
  </conditionalFormatting>
  <conditionalFormatting sqref="F71 G64:G71 F61 G54:G61">
    <cfRule type="cellIs" dxfId="1" priority="5" stopIfTrue="1" operator="notEqual">
      <formula>0</formula>
    </cfRule>
  </conditionalFormatting>
  <conditionalFormatting sqref="A40:E40">
    <cfRule type="expression" dxfId="0" priority="6" stopIfTrue="1">
      <formula>$A$6+$A$18+$A$30&lt;&gt;100%</formula>
    </cfRule>
  </conditionalFormatting>
  <printOptions horizontalCentered="1" verticalCentered="1"/>
  <pageMargins left="0.25" right="0.25" top="0.75" bottom="0.75" header="0.3" footer="0.3"/>
  <pageSetup paperSize="9" scale="58" orientation="portrait" r:id="rId1"/>
  <headerFooter alignWithMargins="0">
    <oddHeader>&amp;L&amp;"Arial Black,Regular"&amp;12INTERNAL PERFORMANCE EVALUATION&amp;C&amp;"Arial Black,Regular"&amp;8&amp;D&amp;R&amp;"Arial Black,Regular"&amp;12PROPRIETARY</oddHeader>
    <oddFooter>&amp;L&amp;"Arial Black,Regular"&amp;8page &amp;P of &amp;N&amp;R&amp;"Arial Black,Regular"&amp;8&amp;F  -  &amp;A</oddFooter>
  </headerFooter>
  <rowBreaks count="1" manualBreakCount="1">
    <brk id="5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18434" r:id="rId5" name="Drop Down 2">
              <controlPr defaultSize="0" autoLine="0" autoPict="0">
                <anchor mov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18435" r:id="rId6" name="Drop Down 3">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18436" r:id="rId7" name="Drop Down 4">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8437" r:id="rId8" name="Drop Down 5">
              <controlPr defaultSize="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18438" r:id="rId9" name="Drop Down 6">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18439" r:id="rId10" name="Drop Down 7">
              <controlPr defaultSize="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18440" r:id="rId11" name="Drop Down 8">
              <controlPr defaultSize="0" autoLine="0" autoPict="0">
                <anchor mov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18441" r:id="rId12" name="Drop Down 9">
              <controlPr defaultSize="0" autoLine="0" autoPict="0">
                <anchor mov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18442" r:id="rId13" name="Drop Down 10">
              <controlPr defaultSize="0" autoLine="0" autoPict="0">
                <anchor mov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18443" r:id="rId14" name="Drop Down 11">
              <controlPr defaultSize="0" autoLine="0" autoPict="0">
                <anchor mov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18444" r:id="rId15" name="Drop Down 12">
              <controlPr defaultSize="0" autoLine="0" autoPict="0">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8445" r:id="rId16" name="Drop Down 13">
              <controlPr defaultSize="0" autoLine="0" autoPict="0">
                <anchor mov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18446" r:id="rId17" name="Drop Down 14">
              <controlPr defaultSize="0" autoLine="0" autoPict="0">
                <anchor moveWithCells="1">
                  <from>
                    <xdr:col>1</xdr:col>
                    <xdr:colOff>0</xdr:colOff>
                    <xdr:row>24</xdr:row>
                    <xdr:rowOff>0</xdr:rowOff>
                  </from>
                  <to>
                    <xdr:col>2</xdr:col>
                    <xdr:colOff>0</xdr:colOff>
                    <xdr:row>25</xdr:row>
                    <xdr:rowOff>0</xdr:rowOff>
                  </to>
                </anchor>
              </controlPr>
            </control>
          </mc:Choice>
        </mc:AlternateContent>
        <mc:AlternateContent xmlns:mc="http://schemas.openxmlformats.org/markup-compatibility/2006">
          <mc:Choice Requires="x14">
            <control shapeId="18447" r:id="rId18" name="Drop Down 15">
              <controlPr defaultSize="0" autoLine="0" autoPict="0">
                <anchor moveWithCells="1">
                  <from>
                    <xdr:col>1</xdr:col>
                    <xdr:colOff>0</xdr:colOff>
                    <xdr:row>25</xdr:row>
                    <xdr:rowOff>0</xdr:rowOff>
                  </from>
                  <to>
                    <xdr:col>2</xdr:col>
                    <xdr:colOff>0</xdr:colOff>
                    <xdr:row>26</xdr:row>
                    <xdr:rowOff>0</xdr:rowOff>
                  </to>
                </anchor>
              </controlPr>
            </control>
          </mc:Choice>
        </mc:AlternateContent>
        <mc:AlternateContent xmlns:mc="http://schemas.openxmlformats.org/markup-compatibility/2006">
          <mc:Choice Requires="x14">
            <control shapeId="18448" r:id="rId19" name="Drop Down 16">
              <controlPr defaultSize="0" autoLine="0" autoPict="0">
                <anchor moveWithCells="1">
                  <from>
                    <xdr:col>1</xdr:col>
                    <xdr:colOff>0</xdr:colOff>
                    <xdr:row>26</xdr:row>
                    <xdr:rowOff>0</xdr:rowOff>
                  </from>
                  <to>
                    <xdr:col>2</xdr:col>
                    <xdr:colOff>0</xdr:colOff>
                    <xdr:row>27</xdr:row>
                    <xdr:rowOff>0</xdr:rowOff>
                  </to>
                </anchor>
              </controlPr>
            </control>
          </mc:Choice>
        </mc:AlternateContent>
        <mc:AlternateContent xmlns:mc="http://schemas.openxmlformats.org/markup-compatibility/2006">
          <mc:Choice Requires="x14">
            <control shapeId="18449" r:id="rId20" name="Drop Down 17">
              <controlPr defaultSize="0" autoLine="0" autoPict="0">
                <anchor moveWithCells="1">
                  <from>
                    <xdr:col>1</xdr:col>
                    <xdr:colOff>0</xdr:colOff>
                    <xdr:row>31</xdr:row>
                    <xdr:rowOff>0</xdr:rowOff>
                  </from>
                  <to>
                    <xdr:col>2</xdr:col>
                    <xdr:colOff>0</xdr:colOff>
                    <xdr:row>32</xdr:row>
                    <xdr:rowOff>0</xdr:rowOff>
                  </to>
                </anchor>
              </controlPr>
            </control>
          </mc:Choice>
        </mc:AlternateContent>
        <mc:AlternateContent xmlns:mc="http://schemas.openxmlformats.org/markup-compatibility/2006">
          <mc:Choice Requires="x14">
            <control shapeId="18450" r:id="rId21" name="Drop Down 18">
              <controlPr defaultSize="0" autoLine="0" autoPict="0">
                <anchor moveWithCells="1">
                  <from>
                    <xdr:col>1</xdr:col>
                    <xdr:colOff>0</xdr:colOff>
                    <xdr:row>32</xdr:row>
                    <xdr:rowOff>0</xdr:rowOff>
                  </from>
                  <to>
                    <xdr:col>2</xdr:col>
                    <xdr:colOff>0</xdr:colOff>
                    <xdr:row>33</xdr:row>
                    <xdr:rowOff>0</xdr:rowOff>
                  </to>
                </anchor>
              </controlPr>
            </control>
          </mc:Choice>
        </mc:AlternateContent>
        <mc:AlternateContent xmlns:mc="http://schemas.openxmlformats.org/markup-compatibility/2006">
          <mc:Choice Requires="x14">
            <control shapeId="18451" r:id="rId22" name="Drop Down 19">
              <controlPr defaultSize="0" autoLine="0" autoPict="0">
                <anchor moveWithCells="1">
                  <from>
                    <xdr:col>1</xdr:col>
                    <xdr:colOff>0</xdr:colOff>
                    <xdr:row>33</xdr:row>
                    <xdr:rowOff>0</xdr:rowOff>
                  </from>
                  <to>
                    <xdr:col>2</xdr:col>
                    <xdr:colOff>0</xdr:colOff>
                    <xdr:row>34</xdr:row>
                    <xdr:rowOff>0</xdr:rowOff>
                  </to>
                </anchor>
              </controlPr>
            </control>
          </mc:Choice>
        </mc:AlternateContent>
        <mc:AlternateContent xmlns:mc="http://schemas.openxmlformats.org/markup-compatibility/2006">
          <mc:Choice Requires="x14">
            <control shapeId="18452" r:id="rId23" name="Drop Down 20">
              <controlPr defaultSize="0" autoLine="0" autoPict="0">
                <anchor moveWithCells="1">
                  <from>
                    <xdr:col>1</xdr:col>
                    <xdr:colOff>0</xdr:colOff>
                    <xdr:row>34</xdr:row>
                    <xdr:rowOff>0</xdr:rowOff>
                  </from>
                  <to>
                    <xdr:col>2</xdr:col>
                    <xdr:colOff>0</xdr:colOff>
                    <xdr:row>35</xdr:row>
                    <xdr:rowOff>0</xdr:rowOff>
                  </to>
                </anchor>
              </controlPr>
            </control>
          </mc:Choice>
        </mc:AlternateContent>
        <mc:AlternateContent xmlns:mc="http://schemas.openxmlformats.org/markup-compatibility/2006">
          <mc:Choice Requires="x14">
            <control shapeId="18453" r:id="rId24" name="Drop Down 21">
              <controlPr defaultSize="0" autoLine="0" autoPict="0">
                <anchor moveWithCells="1">
                  <from>
                    <xdr:col>1</xdr:col>
                    <xdr:colOff>0</xdr:colOff>
                    <xdr:row>35</xdr:row>
                    <xdr:rowOff>0</xdr:rowOff>
                  </from>
                  <to>
                    <xdr:col>2</xdr:col>
                    <xdr:colOff>0</xdr:colOff>
                    <xdr:row>36</xdr:row>
                    <xdr:rowOff>0</xdr:rowOff>
                  </to>
                </anchor>
              </controlPr>
            </control>
          </mc:Choice>
        </mc:AlternateContent>
        <mc:AlternateContent xmlns:mc="http://schemas.openxmlformats.org/markup-compatibility/2006">
          <mc:Choice Requires="x14">
            <control shapeId="18454" r:id="rId25" name="Drop Down 22">
              <controlPr defaultSize="0" autoLine="0" autoPict="0">
                <anchor moveWithCells="1">
                  <from>
                    <xdr:col>1</xdr:col>
                    <xdr:colOff>0</xdr:colOff>
                    <xdr:row>36</xdr:row>
                    <xdr:rowOff>0</xdr:rowOff>
                  </from>
                  <to>
                    <xdr:col>2</xdr:col>
                    <xdr:colOff>0</xdr:colOff>
                    <xdr:row>37</xdr:row>
                    <xdr:rowOff>0</xdr:rowOff>
                  </to>
                </anchor>
              </controlPr>
            </control>
          </mc:Choice>
        </mc:AlternateContent>
        <mc:AlternateContent xmlns:mc="http://schemas.openxmlformats.org/markup-compatibility/2006">
          <mc:Choice Requires="x14">
            <control shapeId="18455" r:id="rId26" name="Drop Down 23">
              <controlPr defaultSize="0" autoLine="0" autoPict="0">
                <anchor moveWithCells="1">
                  <from>
                    <xdr:col>1</xdr:col>
                    <xdr:colOff>0</xdr:colOff>
                    <xdr:row>37</xdr:row>
                    <xdr:rowOff>0</xdr:rowOff>
                  </from>
                  <to>
                    <xdr:col>2</xdr:col>
                    <xdr:colOff>0</xdr:colOff>
                    <xdr:row>38</xdr:row>
                    <xdr:rowOff>0</xdr:rowOff>
                  </to>
                </anchor>
              </controlPr>
            </control>
          </mc:Choice>
        </mc:AlternateContent>
        <mc:AlternateContent xmlns:mc="http://schemas.openxmlformats.org/markup-compatibility/2006">
          <mc:Choice Requires="x14">
            <control shapeId="18456" r:id="rId27" name="Drop Down 24">
              <controlPr defaultSize="0" autoLine="0" autoPict="0">
                <anchor moveWithCells="1">
                  <from>
                    <xdr:col>1</xdr:col>
                    <xdr:colOff>0</xdr:colOff>
                    <xdr:row>38</xdr:row>
                    <xdr:rowOff>0</xdr:rowOff>
                  </from>
                  <to>
                    <xdr:col>2</xdr:col>
                    <xdr:colOff>0</xdr:colOff>
                    <xdr:row>39</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Archive_x003f_ xmlns="98384686-fbeb-4579-ad37-71b10abba422">No</Archive_x003f_>
    <Application xmlns="98384686-fbeb-4579-ad37-71b10abba422">ViU</Application>
    <ReviewDate xmlns="98384686-fbeb-4579-ad37-71b10abba422">2022-10-22T05:00:00+00:00</ReviewDate>
    <Category xmlns="98384686-fbeb-4579-ad37-71b10abba422" xsi:nil="true"/>
    <AL_Content xmlns="98384686-fbeb-4579-ad37-71b10abba422">Yes</AL_Content>
    <AL_Audience_Level xmlns="98384686-fbeb-4579-ad37-71b10abba422">Beginner</AL_Audience_Level>
    <AL_Restricted_to_SRA xmlns="98384686-fbeb-4579-ad37-71b10abba422">false</AL_Restricted_to_SRA>
    <AL_Log xmlns="98384686-fbeb-4579-ad37-71b10abba422" xsi:nil="true"/>
    <c68dcc8850e3487c9696b709643e4e9d xmlns="b64dfe67-8052-4ffe-b5cd-8d29095c30a6">
      <Terms xmlns="http://schemas.microsoft.com/office/infopath/2007/PartnerControls">
        <TermInfo xmlns="http://schemas.microsoft.com/office/infopath/2007/PartnerControls">
          <TermName xmlns="http://schemas.microsoft.com/office/infopath/2007/PartnerControls">Value in Use (ViU) (12016)</TermName>
          <TermId xmlns="http://schemas.microsoft.com/office/infopath/2007/PartnerControls">90b1aa5d-bc97-431e-94a7-3aa22ef30ec5</TermId>
        </TermInfo>
      </Terms>
    </c68dcc8850e3487c9696b709643e4e9d>
    <p9dbb6b452f442bcb24cb960282d400a xmlns="98384686-fbeb-4579-ad37-71b10abba422">
      <Terms xmlns="http://schemas.microsoft.com/office/infopath/2007/PartnerControls"/>
    </p9dbb6b452f442bcb24cb960282d400a>
    <pd3afc85837d4c948d575dcb58ce28be xmlns="b64dfe67-8052-4ffe-b5cd-8d29095c30a6">
      <Terms xmlns="http://schemas.microsoft.com/office/infopath/2007/PartnerControls">
        <TermInfo xmlns="http://schemas.microsoft.com/office/infopath/2007/PartnerControls">
          <TermName xmlns="http://schemas.microsoft.com/office/infopath/2007/PartnerControls">Internal</TermName>
          <TermId xmlns="http://schemas.microsoft.com/office/infopath/2007/PartnerControls">a181b97f-586d-444f-93f6-a9de4555a416</TermId>
        </TermInfo>
      </Terms>
    </pd3afc85837d4c948d575dcb58ce28be>
    <AL_Picture xmlns="98384686-fbeb-4579-ad37-71b10abba422" xsi:nil="true"/>
    <TaxCatchAll xmlns="bb89c972-4a04-4d58-9f04-6f2fa2f1c546">
      <Value>37</Value>
      <Value>18</Value>
    </TaxCatchAll>
    <AL_Author xmlns="98384686-fbeb-4579-ad37-71b10abba422">
      <UserInfo>
        <DisplayName>Van Der Sanden, Dirk</DisplayName>
        <AccountId>43</AccountId>
        <AccountType/>
      </UserInfo>
    </AL_Author>
    <AL_ID xmlns="98384686-fbeb-4579-ad37-71b10abba422">ECL-8a128a5f-c2b8-4e3e-be1e-0ca147433ffc</AL_ID>
    <Sustainability_x0020_Feature xmlns="98384686-fbeb-4579-ad37-71b10abba422">No</Sustainability_x0020_Feature>
    <AL_SCTtitle xmlns="98384686-fbeb-4579-ad37-71b10abba422" xsi:nil="true"/>
    <AL_Description xmlns="98384686-fbeb-4579-ad37-71b10abba422" xsi:nil="true"/>
    <AL_SCTitle xmlns="98384686-fbeb-4579-ad37-71b10abba42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BFD56AC52C53346B702CFBFB3E1EB78" ma:contentTypeVersion="30" ma:contentTypeDescription="Create a new document." ma:contentTypeScope="" ma:versionID="2829663822b95ae074eca60b54b5a0e9">
  <xsd:schema xmlns:xsd="http://www.w3.org/2001/XMLSchema" xmlns:xs="http://www.w3.org/2001/XMLSchema" xmlns:p="http://schemas.microsoft.com/office/2006/metadata/properties" xmlns:ns2="98384686-fbeb-4579-ad37-71b10abba422" xmlns:ns3="b64dfe67-8052-4ffe-b5cd-8d29095c30a6" xmlns:ns4="bb89c972-4a04-4d58-9f04-6f2fa2f1c546" targetNamespace="http://schemas.microsoft.com/office/2006/metadata/properties" ma:root="true" ma:fieldsID="53c78a24e642d6c65937a824502c60cc" ns2:_="" ns3:_="" ns4:_="">
    <xsd:import namespace="98384686-fbeb-4579-ad37-71b10abba422"/>
    <xsd:import namespace="b64dfe67-8052-4ffe-b5cd-8d29095c30a6"/>
    <xsd:import namespace="bb89c972-4a04-4d58-9f04-6f2fa2f1c546"/>
    <xsd:element name="properties">
      <xsd:complexType>
        <xsd:sequence>
          <xsd:element name="documentManagement">
            <xsd:complexType>
              <xsd:all>
                <xsd:element ref="ns2:Application"/>
                <xsd:element ref="ns2:ReviewDate"/>
                <xsd:element ref="ns2:Archive_x003f_"/>
                <xsd:element ref="ns2:Category" minOccurs="0"/>
                <xsd:element ref="ns2:AL_Content" minOccurs="0"/>
                <xsd:element ref="ns2:AL_Audience_Level" minOccurs="0"/>
                <xsd:element ref="ns2:AL_Restricted_to_SRA" minOccurs="0"/>
                <xsd:element ref="ns3:pd3afc85837d4c948d575dcb58ce28be" minOccurs="0"/>
                <xsd:element ref="ns4:TaxCatchAll" minOccurs="0"/>
                <xsd:element ref="ns3:c68dcc8850e3487c9696b709643e4e9d" minOccurs="0"/>
                <xsd:element ref="ns2:AL_Picture" minOccurs="0"/>
                <xsd:element ref="ns2:AL_ID" minOccurs="0"/>
                <xsd:element ref="ns2:AL_Log" minOccurs="0"/>
                <xsd:element ref="ns2:AL_Author" minOccurs="0"/>
                <xsd:element ref="ns2:p9dbb6b452f442bcb24cb960282d400a" minOccurs="0"/>
                <xsd:element ref="ns2:Sustainability_x0020_Feature"/>
                <xsd:element ref="ns2:AL_SCTtitle" minOccurs="0"/>
                <xsd:element ref="ns2:AL_Description" minOccurs="0"/>
                <xsd:element ref="ns2:AL_SCTitle" minOccurs="0"/>
                <xsd:element ref="ns4: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384686-fbeb-4579-ad37-71b10abba422" elementFormDefault="qualified">
    <xsd:import namespace="http://schemas.microsoft.com/office/2006/documentManagement/types"/>
    <xsd:import namespace="http://schemas.microsoft.com/office/infopath/2007/PartnerControls"/>
    <xsd:element name="Application" ma:index="8" ma:displayName="Application" ma:format="Dropdown" ma:internalName="Application">
      <xsd:simpleType>
        <xsd:restriction base="dms:Choice">
          <xsd:enumeration value="Agricultural Films"/>
          <xsd:enumeration value="Extrusion Coating"/>
          <xsd:enumeration value="Primary packaging - dry"/>
          <xsd:enumeration value="Geomembrane"/>
          <xsd:enumeration value="Heavy Duty Sacks"/>
          <xsd:enumeration value="Hygiene"/>
          <xsd:enumeration value="Liquid Packaging"/>
          <xsd:enumeration value="Shrink"/>
          <xsd:enumeration value="Stretch"/>
          <xsd:enumeration value="Wire &amp; Cable"/>
          <xsd:enumeration value="Exceed S"/>
          <xsd:enumeration value="Product Family"/>
          <xsd:enumeration value="Sustainability"/>
          <xsd:enumeration value="ViU"/>
          <xsd:enumeration value="SPEED"/>
          <xsd:enumeration value="Thin Liner"/>
          <xsd:enumeration value="Building &amp; Construction"/>
        </xsd:restriction>
      </xsd:simpleType>
    </xsd:element>
    <xsd:element name="ReviewDate" ma:index="9" ma:displayName="Review Date" ma:format="DateOnly" ma:internalName="ReviewDate">
      <xsd:simpleType>
        <xsd:restriction base="dms:DateTime"/>
      </xsd:simpleType>
    </xsd:element>
    <xsd:element name="Archive_x003f_" ma:index="11" ma:displayName="Archive?" ma:default="No" ma:format="Dropdown" ma:internalName="Archive_x003f_">
      <xsd:simpleType>
        <xsd:restriction base="dms:Choice">
          <xsd:enumeration value="No"/>
          <xsd:enumeration value="Yes"/>
        </xsd:restriction>
      </xsd:simpleType>
    </xsd:element>
    <xsd:element name="Category" ma:index="12" nillable="true" ma:displayName="Category" ma:format="Dropdown" ma:internalName="Category">
      <xsd:simpleType>
        <xsd:restriction base="dms:Choice">
          <xsd:enumeration value="Historical Training Materials"/>
          <xsd:enumeration value="Internal ViU Tools"/>
          <xsd:enumeration value="External ViU tools"/>
        </xsd:restriction>
      </xsd:simpleType>
    </xsd:element>
    <xsd:element name="AL_Content" ma:index="13" nillable="true" ma:displayName="AL_Content" ma:default="TBD" ma:format="Dropdown" ma:internalName="AL_Content">
      <xsd:simpleType>
        <xsd:restriction base="dms:Choice">
          <xsd:enumeration value="TBD"/>
          <xsd:enumeration value="Yes"/>
          <xsd:enumeration value="No"/>
        </xsd:restriction>
      </xsd:simpleType>
    </xsd:element>
    <xsd:element name="AL_Audience_Level" ma:index="14" nillable="true" ma:displayName="AL_Audience_Level" ma:default="Beginner" ma:format="Dropdown" ma:internalName="AL_Audience_Level">
      <xsd:simpleType>
        <xsd:restriction base="dms:Choice">
          <xsd:enumeration value="Beginner"/>
          <xsd:enumeration value="Intermediate"/>
          <xsd:enumeration value="Advanced"/>
        </xsd:restriction>
      </xsd:simpleType>
    </xsd:element>
    <xsd:element name="AL_Restricted_to_SRA" ma:index="15" nillable="true" ma:displayName="AL_Restricted_to_SRA" ma:default="1" ma:internalName="AL_Restricted_to_SRA">
      <xsd:simpleType>
        <xsd:restriction base="dms:Boolean"/>
      </xsd:simpleType>
    </xsd:element>
    <xsd:element name="AL_Picture" ma:index="21" nillable="true" ma:displayName="AL_Picture" ma:internalName="AL_Picture">
      <xsd:simpleType>
        <xsd:restriction base="dms:Text">
          <xsd:maxLength value="255"/>
        </xsd:restriction>
      </xsd:simpleType>
    </xsd:element>
    <xsd:element name="AL_ID" ma:index="22" nillable="true" ma:displayName="AL_ID" ma:indexed="true" ma:internalName="AL_ID">
      <xsd:simpleType>
        <xsd:restriction base="dms:Text">
          <xsd:maxLength value="255"/>
        </xsd:restriction>
      </xsd:simpleType>
    </xsd:element>
    <xsd:element name="AL_Log" ma:index="23" nillable="true" ma:displayName="AL_Log" ma:internalName="AL_Log">
      <xsd:simpleType>
        <xsd:restriction base="dms:Text">
          <xsd:maxLength value="255"/>
        </xsd:restriction>
      </xsd:simpleType>
    </xsd:element>
    <xsd:element name="AL_Author" ma:index="24" nillable="true" ma:displayName="AL_Author" ma:list="UserInfo" ma:SharePointGroup="0" ma:internalName="AL_Auth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9dbb6b452f442bcb24cb960282d400a" ma:index="26" nillable="true" ma:taxonomy="true" ma:internalName="p9dbb6b452f442bcb24cb960282d400a" ma:taxonomyFieldName="AL_Keywords" ma:displayName="AL_Keywords" ma:readOnly="false" ma:default="" ma:fieldId="{99dbb6b4-52f4-42bc-b24c-b960282d400a}" ma:taxonomyMulti="true" ma:sspId="cd2eac8c-8ecc-4645-b318-02844a02f951" ma:termSetId="0c2e27a3-90c0-4eae-bcdf-a2bdcfd6b7f9" ma:anchorId="00000000-0000-0000-0000-000000000000" ma:open="false" ma:isKeyword="false">
      <xsd:complexType>
        <xsd:sequence>
          <xsd:element ref="pc:Terms" minOccurs="0" maxOccurs="1"/>
        </xsd:sequence>
      </xsd:complexType>
    </xsd:element>
    <xsd:element name="Sustainability_x0020_Feature" ma:index="27" ma:displayName="Sustainability Feature" ma:default="Yes" ma:format="Dropdown" ma:internalName="Sustainability_x0020_Feature">
      <xsd:simpleType>
        <xsd:restriction base="dms:Choice">
          <xsd:enumeration value="Yes"/>
          <xsd:enumeration value="No"/>
          <xsd:enumeration value="Unsure"/>
        </xsd:restriction>
      </xsd:simpleType>
    </xsd:element>
    <xsd:element name="AL_SCTtitle" ma:index="28" nillable="true" ma:displayName="AL_SCTitle_old" ma:internalName="AL_SCTtitle">
      <xsd:simpleType>
        <xsd:restriction base="dms:Text">
          <xsd:maxLength value="100"/>
        </xsd:restriction>
      </xsd:simpleType>
    </xsd:element>
    <xsd:element name="AL_Description" ma:index="29" nillable="true" ma:displayName="AL_Description" ma:internalName="AL_Description">
      <xsd:simpleType>
        <xsd:restriction base="dms:Note">
          <xsd:maxLength value="255"/>
        </xsd:restriction>
      </xsd:simpleType>
    </xsd:element>
    <xsd:element name="AL_SCTitle" ma:index="30" nillable="true" ma:displayName="AL_SCTitle" ma:internalName="AL_SCTitle">
      <xsd:simpleType>
        <xsd:restriction base="dms:Text">
          <xsd:maxLength value="100"/>
        </xsd:restriction>
      </xsd:simpleType>
    </xsd:element>
  </xsd:schema>
  <xsd:schema xmlns:xsd="http://www.w3.org/2001/XMLSchema" xmlns:xs="http://www.w3.org/2001/XMLSchema" xmlns:dms="http://schemas.microsoft.com/office/2006/documentManagement/types" xmlns:pc="http://schemas.microsoft.com/office/infopath/2007/PartnerControls" targetNamespace="b64dfe67-8052-4ffe-b5cd-8d29095c30a6" elementFormDefault="qualified">
    <xsd:import namespace="http://schemas.microsoft.com/office/2006/documentManagement/types"/>
    <xsd:import namespace="http://schemas.microsoft.com/office/infopath/2007/PartnerControls"/>
    <xsd:element name="pd3afc85837d4c948d575dcb58ce28be" ma:index="17" nillable="true" ma:taxonomy="true" ma:internalName="pd3afc85837d4c948d575dcb58ce28be" ma:taxonomyFieldName="AL_Confidentiality" ma:displayName="AL_Confidentiality" ma:readOnly="false" ma:default="18;#Internal|a181b97f-586d-444f-93f6-a9de4555a416" ma:fieldId="{9d3afc85-837d-4c94-8d57-5dcb58ce28be}" ma:sspId="cd2eac8c-8ecc-4645-b318-02844a02f951" ma:termSetId="0c2e27a3-90c0-4eae-bcdf-a2bdcfd6b7f9" ma:anchorId="cfe00905-7f43-4976-90d2-720634d637e0" ma:open="false" ma:isKeyword="false">
      <xsd:complexType>
        <xsd:sequence>
          <xsd:element ref="pc:Terms" minOccurs="0" maxOccurs="1"/>
        </xsd:sequence>
      </xsd:complexType>
    </xsd:element>
    <xsd:element name="c68dcc8850e3487c9696b709643e4e9d" ma:index="20" nillable="true" ma:taxonomy="true" ma:internalName="c68dcc8850e3487c9696b709643e4e9d" ma:taxonomyFieldName="AL_Learning_Channel" ma:displayName="AL_Learning_Channel" ma:default="" ma:fieldId="{c68dcc88-50e3-487c-9696-b709643e4e9d}" ma:taxonomyMulti="true" ma:sspId="cd2eac8c-8ecc-4645-b318-02844a02f951" ma:termSetId="0c2e27a3-90c0-4eae-bcdf-a2bdcfd6b7f9" ma:anchorId="ff9a02a7-04bf-4114-b65a-7fe2716aeaba"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b89c972-4a04-4d58-9f04-6f2fa2f1c546"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6682d82-0516-4232-9673-09c8dce24ad4}" ma:internalName="TaxCatchAll" ma:showField="CatchAllData" ma:web="bb89c972-4a04-4d58-9f04-6f2fa2f1c546">
      <xsd:complexType>
        <xsd:complexContent>
          <xsd:extension base="dms:MultiChoiceLookup">
            <xsd:sequence>
              <xsd:element name="Value" type="dms:Lookup" maxOccurs="unbounded" minOccurs="0" nillable="true"/>
            </xsd:sequence>
          </xsd:extension>
        </xsd:complexContent>
      </xsd:complexType>
    </xsd:element>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43534E-B43A-441E-823B-6484F7F90583}">
  <ds:schemaRefs>
    <ds:schemaRef ds:uri="http://purl.org/dc/elements/1.1/"/>
    <ds:schemaRef ds:uri="http://schemas.microsoft.com/office/2006/metadata/properties"/>
    <ds:schemaRef ds:uri="http://purl.org/dc/terms/"/>
    <ds:schemaRef ds:uri="98384686-fbeb-4579-ad37-71b10abba422"/>
    <ds:schemaRef ds:uri="http://schemas.microsoft.com/office/2006/documentManagement/types"/>
    <ds:schemaRef ds:uri="http://schemas.microsoft.com/office/infopath/2007/PartnerControls"/>
    <ds:schemaRef ds:uri="http://schemas.openxmlformats.org/package/2006/metadata/core-properties"/>
    <ds:schemaRef ds:uri="bb89c972-4a04-4d58-9f04-6f2fa2f1c546"/>
    <ds:schemaRef ds:uri="b64dfe67-8052-4ffe-b5cd-8d29095c30a6"/>
    <ds:schemaRef ds:uri="http://www.w3.org/XML/1998/namespace"/>
    <ds:schemaRef ds:uri="http://purl.org/dc/dcmitype/"/>
  </ds:schemaRefs>
</ds:datastoreItem>
</file>

<file path=customXml/itemProps2.xml><?xml version="1.0" encoding="utf-8"?>
<ds:datastoreItem xmlns:ds="http://schemas.openxmlformats.org/officeDocument/2006/customXml" ds:itemID="{E3214E36-4A99-4FD3-A9D4-F6349D682B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384686-fbeb-4579-ad37-71b10abba422"/>
    <ds:schemaRef ds:uri="b64dfe67-8052-4ffe-b5cd-8d29095c30a6"/>
    <ds:schemaRef ds:uri="bb89c972-4a04-4d58-9f04-6f2fa2f1c5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D0E212-D229-46AA-8D7D-D99749E67F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CALCULATE 00</vt:lpstr>
      <vt:lpstr>EVALUATE 00</vt:lpstr>
      <vt:lpstr>#1 GAUGE EXAMPLE</vt:lpstr>
      <vt:lpstr>#2 GAUGE+PERF CALC</vt:lpstr>
      <vt:lpstr>#2 GAUGE+PERF EVALUATION</vt:lpstr>
      <vt:lpstr>'#2 GAUGE+PERF EVALUATION'!Print_Area</vt:lpstr>
      <vt:lpstr>'EVALUATE 00'!Print_Area</vt:lpstr>
    </vt:vector>
  </TitlesOfParts>
  <Company>ExxonMobil or an Affiliate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Internal ViU Tool v4.2</dc:title>
  <dc:creator>DGVDSA1</dc:creator>
  <cp:keywords/>
  <cp:lastModifiedBy>Sarhangi Fard, Arash</cp:lastModifiedBy>
  <cp:lastPrinted>2017-04-24T17:42:42Z</cp:lastPrinted>
  <dcterms:created xsi:type="dcterms:W3CDTF">2009-08-12T12:29:01Z</dcterms:created>
  <dcterms:modified xsi:type="dcterms:W3CDTF">2022-10-27T11:53:03Z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0x010100EBFD56AC52C53346B702CFBFB3E1EB78</vt:lpwstr>
  </property>
  <property fmtid="{D5CDD505-2E9C-101B-9397-08002B2CF9AE}" pid="3" name="IsMyDocuments">
    <vt:bool>true</vt:bool>
  </property>
  <property fmtid="{D5CDD505-2E9C-101B-9397-08002B2CF9AE}" pid="4" name="AL_Keywords">
    <vt:lpwstr/>
  </property>
  <property fmtid="{D5CDD505-2E9C-101B-9397-08002B2CF9AE}" pid="5" name="AL_Confidentiality">
    <vt:lpwstr>18;#Internal|a181b97f-586d-444f-93f6-a9de4555a416</vt:lpwstr>
  </property>
  <property fmtid="{D5CDD505-2E9C-101B-9397-08002B2CF9AE}" pid="6" name="AL_Learning_Channel">
    <vt:lpwstr>37;#Value in Use (ViU) (12016)|90b1aa5d-bc97-431e-94a7-3aa22ef30ec5</vt:lpwstr>
  </property>
  <property fmtid="{D5CDD505-2E9C-101B-9397-08002B2CF9AE}" pid="7" name="_AdHocReviewCycleID">
    <vt:i4>1027266037</vt:i4>
  </property>
  <property fmtid="{D5CDD505-2E9C-101B-9397-08002B2CF9AE}" pid="8" name="_NewReviewCycle">
    <vt:lpwstr/>
  </property>
  <property fmtid="{D5CDD505-2E9C-101B-9397-08002B2CF9AE}" pid="9" name="_EmailSubject">
    <vt:lpwstr>Replacing old with new version of Internal ViU Tool</vt:lpwstr>
  </property>
  <property fmtid="{D5CDD505-2E9C-101B-9397-08002B2CF9AE}" pid="10" name="_AuthorEmail">
    <vt:lpwstr>dirk.vandersanden@exxonmobil.com</vt:lpwstr>
  </property>
  <property fmtid="{D5CDD505-2E9C-101B-9397-08002B2CF9AE}" pid="11" name="_AuthorEmailDisplayName">
    <vt:lpwstr>Van Der Sanden, Dirk</vt:lpwstr>
  </property>
  <property fmtid="{D5CDD505-2E9C-101B-9397-08002B2CF9AE}" pid="12" name="_ReviewingToolsShownOnce">
    <vt:lpwstr/>
  </property>
</Properties>
</file>