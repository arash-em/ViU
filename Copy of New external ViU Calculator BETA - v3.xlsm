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workbookPr codeName="ThisWorkbook" defaultThemeVersion="124226"/>
  <mc:AlternateContent xmlns:mc="http://schemas.openxmlformats.org/markup-compatibility/2006">
    <mc:Choice Requires="x15">
      <x15ac:absPath xmlns:x15ac="http://schemas.microsoft.com/office/spreadsheetml/2010/11/ac" url="\\macncs01c01\asfard1$\Sync\CMI\CAD_Transffer\ViU\"/>
    </mc:Choice>
  </mc:AlternateContent>
  <xr:revisionPtr revIDLastSave="0" documentId="8_{22B1524F-8A48-40D7-B944-9D23773551E1}" xr6:coauthVersionLast="47" xr6:coauthVersionMax="47" xr10:uidLastSave="{00000000-0000-0000-0000-000000000000}"/>
  <bookViews>
    <workbookView xWindow="33735" yWindow="3465" windowWidth="21600" windowHeight="11385" tabRatio="638" xr2:uid="{00000000-000D-0000-FFFF-FFFF00000000}"/>
  </bookViews>
  <sheets>
    <sheet name="CALCULATOR00" sheetId="15" r:id="rId1"/>
    <sheet name="ch prep" sheetId="17" state="hidden" r:id="rId2"/>
  </sheets>
  <definedNames>
    <definedName name="_xlnm.Print_Area" localSheetId="0">CALCULATOR00!$A$1:$BJ$104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4" i="17" l="1"/>
  <c r="AD85" i="15" l="1"/>
  <c r="AD77" i="15"/>
  <c r="X72" i="15"/>
  <c r="O100" i="15"/>
  <c r="O92" i="15"/>
  <c r="O85" i="15"/>
  <c r="O77" i="15"/>
  <c r="I72" i="15"/>
  <c r="AB74" i="15"/>
  <c r="N74" i="15"/>
  <c r="F74" i="15"/>
  <c r="B74" i="15"/>
  <c r="B72" i="15"/>
  <c r="X34" i="15"/>
  <c r="X74" i="15" s="1"/>
  <c r="BH32" i="15"/>
  <c r="BE32" i="15"/>
  <c r="M32" i="15"/>
  <c r="K32" i="15"/>
  <c r="BH31" i="15"/>
  <c r="BE31" i="15"/>
  <c r="BH30" i="15"/>
  <c r="BI30" i="15" s="1"/>
  <c r="Z30" i="15"/>
  <c r="M30" i="15"/>
  <c r="J30" i="15"/>
  <c r="BH29" i="15"/>
  <c r="BE29" i="15"/>
  <c r="M29" i="15"/>
  <c r="J29" i="15"/>
  <c r="BH28" i="15"/>
  <c r="BE28" i="15"/>
  <c r="M28" i="15"/>
  <c r="J28" i="15"/>
  <c r="BH27" i="15"/>
  <c r="BI27" i="15" s="1"/>
  <c r="I27" i="15"/>
  <c r="BH26" i="15"/>
  <c r="BE26" i="15"/>
  <c r="BH25" i="15"/>
  <c r="BE25" i="15"/>
  <c r="X25" i="15"/>
  <c r="BH24" i="15"/>
  <c r="BI24" i="15" s="1"/>
  <c r="AB24" i="15"/>
  <c r="I24" i="15"/>
  <c r="BH23" i="15"/>
  <c r="BE23" i="15"/>
  <c r="AB23" i="15"/>
  <c r="X23" i="15"/>
  <c r="BH22" i="15"/>
  <c r="BE22" i="15"/>
  <c r="I22" i="15"/>
  <c r="B22" i="15"/>
  <c r="BH21" i="15"/>
  <c r="BI21" i="15" s="1"/>
  <c r="BH20" i="15"/>
  <c r="BE20" i="15"/>
  <c r="AI20" i="15"/>
  <c r="AH20" i="15"/>
  <c r="AG20" i="15"/>
  <c r="AF20" i="15"/>
  <c r="AE20" i="15"/>
  <c r="AD20" i="15"/>
  <c r="AC20" i="15"/>
  <c r="AB20" i="15"/>
  <c r="AA20" i="15"/>
  <c r="Z20" i="15"/>
  <c r="Y20" i="15"/>
  <c r="T20" i="15"/>
  <c r="S20" i="15"/>
  <c r="R20" i="15"/>
  <c r="Q20" i="15"/>
  <c r="P20" i="15"/>
  <c r="O20" i="15"/>
  <c r="N20" i="15"/>
  <c r="M20" i="15"/>
  <c r="L20" i="15"/>
  <c r="K20" i="15"/>
  <c r="J20" i="15"/>
  <c r="BH19" i="15"/>
  <c r="BE19" i="15"/>
  <c r="AX19" i="15"/>
  <c r="AW19" i="15"/>
  <c r="AV19" i="15"/>
  <c r="AU19" i="15"/>
  <c r="AT19" i="15"/>
  <c r="AS19" i="15"/>
  <c r="AR19" i="15"/>
  <c r="AQ19" i="15"/>
  <c r="AP19" i="15"/>
  <c r="AO19" i="15"/>
  <c r="AN19" i="15"/>
  <c r="AM19" i="15"/>
  <c r="X19" i="15"/>
  <c r="I19" i="15"/>
  <c r="BH18" i="15"/>
  <c r="BE18" i="15"/>
  <c r="AX18" i="15"/>
  <c r="AW18" i="15"/>
  <c r="AV18" i="15"/>
  <c r="AU18" i="15"/>
  <c r="AT18" i="15"/>
  <c r="AS18" i="15"/>
  <c r="AR18" i="15"/>
  <c r="AQ18" i="15"/>
  <c r="AP18" i="15"/>
  <c r="AO18" i="15"/>
  <c r="AN18" i="15"/>
  <c r="AM18" i="15"/>
  <c r="X18" i="15"/>
  <c r="I18" i="15"/>
  <c r="BH17" i="15"/>
  <c r="BE17" i="15"/>
  <c r="AX17" i="15"/>
  <c r="AW17" i="15"/>
  <c r="AV17" i="15"/>
  <c r="AU17" i="15"/>
  <c r="AT17" i="15"/>
  <c r="AS17" i="15"/>
  <c r="AR17" i="15"/>
  <c r="AQ17" i="15"/>
  <c r="AP17" i="15"/>
  <c r="AO17" i="15"/>
  <c r="AN17" i="15"/>
  <c r="AM17" i="15"/>
  <c r="X17" i="15"/>
  <c r="I17" i="15"/>
  <c r="BH16" i="15"/>
  <c r="BE16" i="15"/>
  <c r="AX16" i="15"/>
  <c r="AW16" i="15"/>
  <c r="AV16" i="15"/>
  <c r="AU16" i="15"/>
  <c r="AT16" i="15"/>
  <c r="AS16" i="15"/>
  <c r="AR16" i="15"/>
  <c r="AQ16" i="15"/>
  <c r="AP16" i="15"/>
  <c r="AO16" i="15"/>
  <c r="AN16" i="15"/>
  <c r="AM16" i="15"/>
  <c r="X16" i="15"/>
  <c r="I16" i="15"/>
  <c r="BH15" i="15"/>
  <c r="BI15" i="15" s="1"/>
  <c r="AX15" i="15"/>
  <c r="AW15" i="15"/>
  <c r="AV15" i="15"/>
  <c r="AU15" i="15"/>
  <c r="AT15" i="15"/>
  <c r="AS15" i="15"/>
  <c r="AR15" i="15"/>
  <c r="AQ15" i="15"/>
  <c r="AP15" i="15"/>
  <c r="AO15" i="15"/>
  <c r="AN15" i="15"/>
  <c r="AM15" i="15"/>
  <c r="X15" i="15"/>
  <c r="I15" i="15"/>
  <c r="BH14" i="15"/>
  <c r="BE14" i="15"/>
  <c r="AX14" i="15"/>
  <c r="AW14" i="15"/>
  <c r="AV14" i="15"/>
  <c r="AU14" i="15"/>
  <c r="AT14" i="15"/>
  <c r="AS14" i="15"/>
  <c r="AR14" i="15"/>
  <c r="AQ14" i="15"/>
  <c r="AP14" i="15"/>
  <c r="AO14" i="15"/>
  <c r="AN14" i="15"/>
  <c r="AM14" i="15"/>
  <c r="X14" i="15"/>
  <c r="I14" i="15"/>
  <c r="BH13" i="15"/>
  <c r="BE13" i="15"/>
  <c r="AX13" i="15"/>
  <c r="AW13" i="15"/>
  <c r="AV13" i="15"/>
  <c r="AU13" i="15"/>
  <c r="AT13" i="15"/>
  <c r="AS13" i="15"/>
  <c r="AR13" i="15"/>
  <c r="AQ13" i="15"/>
  <c r="AP13" i="15"/>
  <c r="AO13" i="15"/>
  <c r="AN13" i="15"/>
  <c r="AM13" i="15"/>
  <c r="X13" i="15"/>
  <c r="I13" i="15"/>
  <c r="BH12" i="15"/>
  <c r="BE12" i="15"/>
  <c r="AX12" i="15"/>
  <c r="AW12" i="15"/>
  <c r="AV12" i="15"/>
  <c r="AU12" i="15"/>
  <c r="AT12" i="15"/>
  <c r="AS12" i="15"/>
  <c r="AR12" i="15"/>
  <c r="AQ12" i="15"/>
  <c r="AP12" i="15"/>
  <c r="AO12" i="15"/>
  <c r="AN12" i="15"/>
  <c r="AM12" i="15"/>
  <c r="X12" i="15"/>
  <c r="I12" i="15"/>
  <c r="BH11" i="15"/>
  <c r="BE11" i="15"/>
  <c r="AX11" i="15"/>
  <c r="AW11" i="15"/>
  <c r="AV11" i="15"/>
  <c r="AU11" i="15"/>
  <c r="AT11" i="15"/>
  <c r="AS11" i="15"/>
  <c r="AR11" i="15"/>
  <c r="AQ11" i="15"/>
  <c r="AP11" i="15"/>
  <c r="AO11" i="15"/>
  <c r="AN11" i="15"/>
  <c r="AM11" i="15"/>
  <c r="X11" i="15"/>
  <c r="I11" i="15"/>
  <c r="BH10" i="15"/>
  <c r="BE10" i="15"/>
  <c r="AX10" i="15"/>
  <c r="AW10" i="15"/>
  <c r="AV10" i="15"/>
  <c r="AU10" i="15"/>
  <c r="AT10" i="15"/>
  <c r="AS10" i="15"/>
  <c r="AR10" i="15"/>
  <c r="AQ10" i="15"/>
  <c r="AP10" i="15"/>
  <c r="AO10" i="15"/>
  <c r="AN10" i="15"/>
  <c r="AM10" i="15"/>
  <c r="X10" i="15"/>
  <c r="I10" i="15"/>
  <c r="BH9" i="15"/>
  <c r="BI9" i="15" s="1"/>
  <c r="AX9" i="15"/>
  <c r="AW9" i="15"/>
  <c r="AV9" i="15"/>
  <c r="AU9" i="15"/>
  <c r="AT9" i="15"/>
  <c r="AS9" i="15"/>
  <c r="AR9" i="15"/>
  <c r="AQ9" i="15"/>
  <c r="AP9" i="15"/>
  <c r="AO9" i="15"/>
  <c r="AN9" i="15"/>
  <c r="AM9" i="15"/>
  <c r="X9" i="15"/>
  <c r="I9" i="15"/>
  <c r="AX8" i="15"/>
  <c r="AW8" i="15"/>
  <c r="AV8" i="15"/>
  <c r="AU8" i="15"/>
  <c r="AT8" i="15"/>
  <c r="AS8" i="15"/>
  <c r="AR8" i="15"/>
  <c r="AQ8" i="15"/>
  <c r="AP8" i="15"/>
  <c r="AO8" i="15"/>
  <c r="AN8" i="15"/>
  <c r="B8" i="15"/>
  <c r="BB6" i="15"/>
  <c r="F8" i="15" s="1"/>
  <c r="AC74" i="15" s="1"/>
  <c r="AY6" i="15"/>
  <c r="BF5" i="15"/>
  <c r="BE5" i="15"/>
  <c r="BD5" i="15"/>
  <c r="BD6" i="15" s="1"/>
  <c r="BC5" i="15"/>
  <c r="BB5" i="15"/>
  <c r="BA5" i="15"/>
  <c r="BI12" i="15" l="1"/>
  <c r="BI11" i="15"/>
  <c r="BI10" i="15"/>
  <c r="BI19" i="15"/>
  <c r="N87" i="15"/>
  <c r="U18" i="15"/>
  <c r="V18" i="15" s="1"/>
  <c r="AJ17" i="15"/>
  <c r="AK17" i="15" s="1"/>
  <c r="F86" i="15"/>
  <c r="N22" i="15"/>
  <c r="E86" i="15" s="1"/>
  <c r="BI32" i="15"/>
  <c r="AJ9" i="15"/>
  <c r="AK9" i="15" s="1"/>
  <c r="F78" i="15"/>
  <c r="BI22" i="15"/>
  <c r="BI16" i="15"/>
  <c r="BI17" i="15"/>
  <c r="BI18" i="15"/>
  <c r="BI20" i="15"/>
  <c r="AB81" i="15"/>
  <c r="BI25" i="15"/>
  <c r="AJ16" i="15"/>
  <c r="AK16" i="15" s="1"/>
  <c r="BI26" i="15"/>
  <c r="G81" i="15"/>
  <c r="BI31" i="15"/>
  <c r="M81" i="15"/>
  <c r="AB78" i="15"/>
  <c r="AX20" i="15"/>
  <c r="BI13" i="15"/>
  <c r="AO20" i="15"/>
  <c r="AW20" i="15"/>
  <c r="U19" i="15"/>
  <c r="BI29" i="15"/>
  <c r="AC81" i="15"/>
  <c r="N101" i="15"/>
  <c r="M78" i="15"/>
  <c r="AC23" i="15"/>
  <c r="AA81" i="15" s="1"/>
  <c r="AQ20" i="15"/>
  <c r="G86" i="15"/>
  <c r="AJ19" i="15"/>
  <c r="AK19" i="15" s="1"/>
  <c r="M96" i="15"/>
  <c r="AR20" i="15"/>
  <c r="AC86" i="15"/>
  <c r="AS20" i="15"/>
  <c r="U13" i="15"/>
  <c r="V13" i="15" s="1"/>
  <c r="BI28" i="15"/>
  <c r="G78" i="15"/>
  <c r="B2" i="17" s="1"/>
  <c r="AV20" i="15"/>
  <c r="BI14" i="15"/>
  <c r="BI23" i="15"/>
  <c r="BA6" i="15"/>
  <c r="AT20" i="15"/>
  <c r="AJ18" i="15"/>
  <c r="AK18" i="15" s="1"/>
  <c r="N95" i="15"/>
  <c r="AC78" i="15"/>
  <c r="N79" i="15"/>
  <c r="U11" i="15"/>
  <c r="V11" i="15" s="1"/>
  <c r="AJ13" i="15"/>
  <c r="AK13" i="15" s="1"/>
  <c r="U17" i="15"/>
  <c r="V17" i="15" s="1"/>
  <c r="G80" i="15"/>
  <c r="AC80" i="15"/>
  <c r="N81" i="15"/>
  <c r="N97" i="15"/>
  <c r="AP20" i="15"/>
  <c r="AJ12" i="15"/>
  <c r="AK12" i="15" s="1"/>
  <c r="U16" i="15"/>
  <c r="V16" i="15" s="1"/>
  <c r="N24" i="15"/>
  <c r="G74" i="15" s="1"/>
  <c r="I36" i="15"/>
  <c r="N78" i="15"/>
  <c r="G82" i="15"/>
  <c r="N86" i="15"/>
  <c r="AC88" i="15"/>
  <c r="BC6" i="15"/>
  <c r="AJ11" i="15"/>
  <c r="AK11" i="15" s="1"/>
  <c r="AU20" i="15"/>
  <c r="I74" i="15"/>
  <c r="D2" i="17" s="1"/>
  <c r="N94" i="15"/>
  <c r="U12" i="15"/>
  <c r="V12" i="15" s="1"/>
  <c r="AJ14" i="15"/>
  <c r="AK14" i="15" s="1"/>
  <c r="U10" i="15"/>
  <c r="V10" i="15" s="1"/>
  <c r="AJ10" i="15"/>
  <c r="AK10" i="15" s="1"/>
  <c r="U15" i="15"/>
  <c r="V15" i="15" s="1"/>
  <c r="AN20" i="15"/>
  <c r="G79" i="15"/>
  <c r="AC79" i="15"/>
  <c r="N80" i="15"/>
  <c r="N82" i="15"/>
  <c r="G87" i="15"/>
  <c r="AC87" i="15"/>
  <c r="G88" i="15"/>
  <c r="N102" i="15"/>
  <c r="AC34" i="15"/>
  <c r="AJ15" i="15"/>
  <c r="AK15" i="15" s="1"/>
  <c r="U9" i="15"/>
  <c r="U14" i="15"/>
  <c r="V14" i="15" s="1"/>
  <c r="O74" i="15"/>
  <c r="F81" i="15"/>
  <c r="N96" i="15"/>
  <c r="N88" i="15"/>
  <c r="N93" i="15"/>
  <c r="N103" i="15"/>
  <c r="O90" i="15"/>
  <c r="N27" i="15"/>
  <c r="AC82" i="15"/>
  <c r="F87" i="15" l="1"/>
  <c r="F88" i="15" s="1"/>
  <c r="B4" i="17" s="1"/>
  <c r="O78" i="15"/>
  <c r="P78" i="15" s="1"/>
  <c r="H2" i="17"/>
  <c r="X85" i="15"/>
  <c r="G4" i="17" s="1"/>
  <c r="I100" i="15"/>
  <c r="E4" i="17" s="1"/>
  <c r="I85" i="15"/>
  <c r="C4" i="17" s="1"/>
  <c r="AC29" i="15"/>
  <c r="AA29" i="15" s="1"/>
  <c r="O81" i="15"/>
  <c r="P81" i="15" s="1"/>
  <c r="X77" i="15"/>
  <c r="G3" i="17" s="1"/>
  <c r="I77" i="15"/>
  <c r="C3" i="17" s="1"/>
  <c r="L81" i="15"/>
  <c r="I35" i="15"/>
  <c r="AD81" i="15"/>
  <c r="AE81" i="15" s="1"/>
  <c r="I33" i="15"/>
  <c r="O91" i="15" s="1"/>
  <c r="L96" i="15"/>
  <c r="B77" i="15"/>
  <c r="A3" i="17" s="1"/>
  <c r="L78" i="15"/>
  <c r="E78" i="15"/>
  <c r="AA78" i="15"/>
  <c r="I92" i="15"/>
  <c r="E3" i="17" s="1"/>
  <c r="E87" i="15"/>
  <c r="AD78" i="15"/>
  <c r="AE78" i="15" s="1"/>
  <c r="AY15" i="15"/>
  <c r="AZ15" i="15" s="1"/>
  <c r="AK29" i="15"/>
  <c r="E81" i="15"/>
  <c r="O96" i="15"/>
  <c r="P96" i="15" s="1"/>
  <c r="M34" i="15"/>
  <c r="AJ20" i="15"/>
  <c r="I6" i="15"/>
  <c r="X6" i="15"/>
  <c r="X24" i="15"/>
  <c r="AM6" i="15"/>
  <c r="V9" i="15"/>
  <c r="K34" i="15" s="1"/>
  <c r="K35" i="15" s="1"/>
  <c r="F75" i="15" s="1"/>
  <c r="U20" i="15"/>
  <c r="AY9" i="15"/>
  <c r="AY16" i="15"/>
  <c r="AZ16" i="15" s="1"/>
  <c r="AY11" i="15"/>
  <c r="AZ11" i="15" s="1"/>
  <c r="AY19" i="15"/>
  <c r="AZ19" i="15" s="1"/>
  <c r="AY13" i="15"/>
  <c r="AZ13" i="15" s="1"/>
  <c r="AY14" i="15"/>
  <c r="AZ14" i="15" s="1"/>
  <c r="AY10" i="15"/>
  <c r="AZ10" i="15" s="1"/>
  <c r="AY12" i="15"/>
  <c r="AZ12" i="15" s="1"/>
  <c r="AY18" i="15"/>
  <c r="AZ18" i="15" s="1"/>
  <c r="AY17" i="15"/>
  <c r="AZ17" i="15" s="1"/>
  <c r="AJ30" i="15" l="1"/>
  <c r="L86" i="15" s="1"/>
  <c r="AC75" i="15"/>
  <c r="G75" i="15"/>
  <c r="I90" i="15"/>
  <c r="F2" i="17" s="1"/>
  <c r="O75" i="15"/>
  <c r="AB29" i="15"/>
  <c r="M33" i="15" s="1"/>
  <c r="M35" i="15"/>
  <c r="AY20" i="15"/>
  <c r="AZ9" i="15"/>
  <c r="Z29" i="15"/>
  <c r="K33" i="15" s="1"/>
  <c r="E75" i="15"/>
  <c r="M86" i="15" l="1"/>
  <c r="O86" i="15" s="1"/>
  <c r="P86" i="15" s="1"/>
  <c r="AA86" i="15"/>
  <c r="AA87" i="15"/>
  <c r="L87" i="15"/>
  <c r="AB86" i="15"/>
  <c r="AD86" i="15" s="1"/>
  <c r="AE86" i="15" s="1"/>
  <c r="K36" i="15"/>
  <c r="E80" i="15" s="1"/>
  <c r="M75" i="15"/>
  <c r="AB75" i="15"/>
  <c r="N75" i="15"/>
  <c r="AA75" i="15"/>
  <c r="M36" i="15"/>
  <c r="M87" i="15" l="1"/>
  <c r="O87" i="15" s="1"/>
  <c r="P87" i="15" s="1"/>
  <c r="AB87" i="15"/>
  <c r="AD87" i="15" s="1"/>
  <c r="AE87" i="15" s="1"/>
  <c r="AA80" i="15"/>
  <c r="AB79" i="15"/>
  <c r="AA79" i="15"/>
  <c r="M79" i="15"/>
  <c r="L79" i="15"/>
  <c r="L80" i="15"/>
  <c r="L95" i="15"/>
  <c r="L94" i="15"/>
  <c r="M94" i="15"/>
  <c r="M25" i="15"/>
  <c r="F79" i="15"/>
  <c r="E79" i="15"/>
  <c r="O79" i="15" l="1"/>
  <c r="P79" i="15" s="1"/>
  <c r="M88" i="15"/>
  <c r="AB88" i="15"/>
  <c r="AD79" i="15"/>
  <c r="AE79" i="15" s="1"/>
  <c r="M80" i="15"/>
  <c r="O94" i="15"/>
  <c r="P94" i="15" s="1"/>
  <c r="M95" i="15"/>
  <c r="M91" i="15"/>
  <c r="N91" i="15"/>
  <c r="N90" i="15" s="1"/>
  <c r="F80" i="15"/>
  <c r="F82" i="15" s="1"/>
  <c r="B3" i="17" s="1"/>
  <c r="AB80" i="15"/>
  <c r="AD88" i="15" l="1"/>
  <c r="AE88" i="15" s="1"/>
  <c r="H4" i="17"/>
  <c r="O88" i="15"/>
  <c r="P88" i="15" s="1"/>
  <c r="D4" i="17"/>
  <c r="O80" i="15"/>
  <c r="P80" i="15" s="1"/>
  <c r="M82" i="15"/>
  <c r="AD80" i="15"/>
  <c r="AE80" i="15" s="1"/>
  <c r="AB82" i="15"/>
  <c r="M101" i="15"/>
  <c r="M93" i="15"/>
  <c r="O93" i="15" s="1"/>
  <c r="P93" i="15" s="1"/>
  <c r="L93" i="15"/>
  <c r="L102" i="15"/>
  <c r="L101" i="15"/>
  <c r="O95" i="15"/>
  <c r="P95" i="15" s="1"/>
  <c r="AD82" i="15" l="1"/>
  <c r="AE82" i="15" s="1"/>
  <c r="H3" i="17"/>
  <c r="O82" i="15"/>
  <c r="P82" i="15" s="1"/>
  <c r="D3" i="17"/>
  <c r="M102" i="15"/>
  <c r="O101" i="15"/>
  <c r="P101" i="15" s="1"/>
  <c r="M97" i="15"/>
  <c r="F3" i="17" s="1"/>
  <c r="O102" i="15" l="1"/>
  <c r="P102" i="15" s="1"/>
  <c r="O97" i="15"/>
  <c r="P97" i="15" s="1"/>
  <c r="M103" i="15"/>
  <c r="F4" i="17" s="1"/>
  <c r="O103" i="15" l="1"/>
  <c r="P103" i="1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DGVDSA1</author>
  </authors>
  <commentList>
    <comment ref="I8" authorId="0" shapeId="0" xr:uid="{00000000-0006-0000-0000-000001000000}">
      <text>
        <r>
          <rPr>
            <b/>
            <sz val="8"/>
            <color indexed="81"/>
            <rFont val="Tahoma"/>
          </rPr>
          <t xml:space="preserve">
</t>
        </r>
        <r>
          <rPr>
            <b/>
            <sz val="8"/>
            <color indexed="81"/>
            <rFont val="Tahoma"/>
            <family val="2"/>
          </rPr>
          <t xml:space="preserve">IDENTIFY LAYER DISTRIBUTION TO THE RIGHT
INDICATE POLYMER %SHARE IN EACH LAYER
REST OF TABLE IS CALCULATED
</t>
        </r>
      </text>
    </comment>
    <comment ref="X8" authorId="0" shapeId="0" xr:uid="{00000000-0006-0000-0000-000002000000}">
      <text>
        <r>
          <rPr>
            <b/>
            <sz val="8"/>
            <color indexed="81"/>
            <rFont val="Tahoma"/>
          </rPr>
          <t xml:space="preserve">
</t>
        </r>
        <r>
          <rPr>
            <b/>
            <sz val="8"/>
            <color indexed="81"/>
            <rFont val="Tahoma"/>
            <family val="2"/>
          </rPr>
          <t xml:space="preserve">IDENTIFY LAYER DISTRIBUTION TO THE RIGHT
INDICATE POLYMER %SHARE IN EACH LAYER
REST OF TABLE IS CALCULATED
</t>
        </r>
      </text>
    </comment>
    <comment ref="AM8" authorId="0" shapeId="0" xr:uid="{00000000-0006-0000-0000-000003000000}">
      <text>
        <r>
          <rPr>
            <b/>
            <sz val="8"/>
            <color indexed="81"/>
            <rFont val="Tahoma"/>
          </rPr>
          <t xml:space="preserve">
</t>
        </r>
        <r>
          <rPr>
            <b/>
            <sz val="8"/>
            <color indexed="81"/>
            <rFont val="Tahoma"/>
            <family val="2"/>
          </rPr>
          <t xml:space="preserve">IDENTIFY LAYER DISTRIBUTION TO THE RIGHT
INDICATE POLYMER %SHARE IN EACH LAYER
REST OF TABLE IS CALCULATED
</t>
        </r>
      </text>
    </comment>
    <comment ref="C13" authorId="0" shapeId="0" xr:uid="{00000000-0006-0000-0000-000004000000}">
      <text>
        <r>
          <rPr>
            <sz val="8"/>
            <color indexed="81"/>
            <rFont val="Tahoma"/>
          </rPr>
          <t xml:space="preserve">
</t>
        </r>
        <r>
          <rPr>
            <b/>
            <sz val="8"/>
            <color indexed="81"/>
            <rFont val="Tahoma"/>
            <family val="2"/>
          </rPr>
          <t>IF MIXING BY WEIGHT IS APPLIED, TYPE 1
FOR VOLUMETRIC MIXING CLEAR CELL CONTENTS</t>
        </r>
      </text>
    </comment>
    <comment ref="AB22" authorId="0" shapeId="0" xr:uid="{00000000-0006-0000-0000-000005000000}">
      <text>
        <r>
          <rPr>
            <sz val="8"/>
            <color indexed="81"/>
            <rFont val="Tahoma"/>
          </rPr>
          <t xml:space="preserve">
IN CASE OF PRODUCTION PARITY OR CREDIT VS. THE REFERENCE IT IS ASSUMED THAT WHEN DOWNGAUGING, THE CONVERTER CAN SELL THE EXTRA VOLUME - THIS THUS REPRESENTS AN EXTENSION OF HIS BUSINESS.
IF THIS IS NOT FEASIBLE TO THE CUSTOMER THEN OUTPUT SHOULD BE DEBITED TO THE APPROPRIATE LEVEL</t>
        </r>
      </text>
    </comment>
    <comment ref="AB25" authorId="0" shapeId="0" xr:uid="{00000000-0006-0000-0000-000006000000}">
      <text>
        <r>
          <rPr>
            <sz val="8"/>
            <color indexed="81"/>
            <rFont val="Tahoma"/>
          </rPr>
          <t xml:space="preserve">
FOR A PURE DOWNGAUGE CASE THIS INPUT SHOULD BE PUT AT 100%
For a PERFORMANCE case the REFERENCE is at 100%
120% means a 20% Performance credit
80% means a 20% Performance debit
The debits/credits are for performances downstream from the converter
i.e. those valued by the downstream players, incl. our customer's customer
</t>
        </r>
      </text>
    </comment>
  </commentList>
</comments>
</file>

<file path=xl/sharedStrings.xml><?xml version="1.0" encoding="utf-8"?>
<sst xmlns="http://schemas.openxmlformats.org/spreadsheetml/2006/main" count="207" uniqueCount="94">
  <si>
    <t>CURRENCY UNIT</t>
  </si>
  <si>
    <t>LAYERS</t>
  </si>
  <si>
    <t>W. FACTOR</t>
  </si>
  <si>
    <t>UNIT COST</t>
  </si>
  <si>
    <t>KG</t>
  </si>
  <si>
    <t>LB</t>
  </si>
  <si>
    <t>NOT USED</t>
  </si>
  <si>
    <t>OPEN</t>
  </si>
  <si>
    <t>TON</t>
  </si>
  <si>
    <t>sq IN</t>
  </si>
  <si>
    <t>LB / running ft</t>
  </si>
  <si>
    <t>running ft</t>
  </si>
  <si>
    <t>IN</t>
  </si>
  <si>
    <t>LB / sq ft</t>
  </si>
  <si>
    <t>sq ft</t>
  </si>
  <si>
    <t>GAL</t>
  </si>
  <si>
    <t>LB / GAL</t>
  </si>
  <si>
    <t>PRICES</t>
  </si>
  <si>
    <t>DENSITY</t>
  </si>
  <si>
    <t>sq MIL</t>
  </si>
  <si>
    <t>MIL</t>
  </si>
  <si>
    <t>sq MM</t>
  </si>
  <si>
    <t>LB / running m</t>
  </si>
  <si>
    <t>running m</t>
  </si>
  <si>
    <t>MM</t>
  </si>
  <si>
    <t>LB / sq m</t>
  </si>
  <si>
    <t>sq m</t>
  </si>
  <si>
    <t>LITER</t>
  </si>
  <si>
    <t>LB/ L</t>
  </si>
  <si>
    <t>L</t>
  </si>
  <si>
    <t>sq MICRON</t>
  </si>
  <si>
    <t>MICRON</t>
  </si>
  <si>
    <t>KG or TON</t>
  </si>
  <si>
    <t>KG / running ft</t>
  </si>
  <si>
    <t>KG / sq ft</t>
  </si>
  <si>
    <t>KG / GAL</t>
  </si>
  <si>
    <t>micron</t>
  </si>
  <si>
    <t>sq micron</t>
  </si>
  <si>
    <t>liter</t>
  </si>
  <si>
    <t>mm</t>
  </si>
  <si>
    <t>sq mm</t>
  </si>
  <si>
    <t>KG / running m</t>
  </si>
  <si>
    <t>gallon</t>
  </si>
  <si>
    <t>KG / sq m</t>
  </si>
  <si>
    <t>In</t>
  </si>
  <si>
    <t>sq In</t>
  </si>
  <si>
    <t>KG / L</t>
  </si>
  <si>
    <t>KT</t>
  </si>
  <si>
    <t>MLB</t>
  </si>
  <si>
    <t>DAYS</t>
  </si>
  <si>
    <t>STOCK HOLDING</t>
  </si>
  <si>
    <t>RAW MATERIAL COSTS</t>
  </si>
  <si>
    <t>STOCK HOLDING COSTS</t>
  </si>
  <si>
    <t>REVENUE</t>
  </si>
  <si>
    <t>PRODUCTION CREDIT / DEBIT (REF = 100%)</t>
  </si>
  <si>
    <t>REFERENCE</t>
  </si>
  <si>
    <t>LOGISTICS COSTS</t>
  </si>
  <si>
    <t>OUTPUT SECTION</t>
  </si>
  <si>
    <t>INPUT SECTION</t>
  </si>
  <si>
    <t>density</t>
  </si>
  <si>
    <t>VALUE OF X BUSINESS CHAIN PERFORMANCE</t>
  </si>
  <si>
    <t>MIX BY WEIGHT</t>
  </si>
  <si>
    <t>B22:F25</t>
  </si>
  <si>
    <t>B8:B10</t>
  </si>
  <si>
    <t>AI5</t>
  </si>
  <si>
    <t>WEIGHT/UNIT</t>
  </si>
  <si>
    <t>COST OF UNITS BOUGHT</t>
  </si>
  <si>
    <t>RMC</t>
  </si>
  <si>
    <t>KG / 1000 sq m</t>
  </si>
  <si>
    <t>KG / 1000 sq ft</t>
  </si>
  <si>
    <t>KG / 1000 running ft</t>
  </si>
  <si>
    <t>LB / 1000 sq m</t>
  </si>
  <si>
    <t>LB / 1000 running m</t>
  </si>
  <si>
    <t>LB / 1000 sq ft</t>
  </si>
  <si>
    <t>LB / 1000 running ft</t>
  </si>
  <si>
    <t>KG / 1000 running m</t>
  </si>
  <si>
    <t>RATIO : SALES PRICE to RAW MATERIAL COST</t>
  </si>
  <si>
    <t>LB / 1000 GAL</t>
  </si>
  <si>
    <t>LB/ 1000 L</t>
  </si>
  <si>
    <t>KG / 1000 GAL</t>
  </si>
  <si>
    <t>KG / 1000 L</t>
  </si>
  <si>
    <t>$</t>
  </si>
  <si>
    <t>INPUTS TO BE MADE IN WHITE FIELDS OF INPUT SECTION</t>
  </si>
  <si>
    <t>C6LL</t>
  </si>
  <si>
    <t>HDPE</t>
  </si>
  <si>
    <t>EXCEED 1018</t>
  </si>
  <si>
    <t>ENABLE 2005</t>
  </si>
  <si>
    <t>ALTERNATIVE</t>
  </si>
  <si>
    <t>THIS "Value-in-Use" (ViU) CALCULATOR IS PROVIDED BY EXXONMOBIL CHEMICAL (EMCC) FOR THE USER'S CONVENIENCE TO ASSESS THE POTENTIAL BENEFITS PROVIDED BY EMCC PRODUCTS.
ALL "DUMMY" NUMBERS ARE PROVIDED BY EMCC FOR ILLUSTRATIVE PURPOSES ONLY.
THE USER IS WELCOME TO INDEPENDANTLY USE THIS TOOL BY REPLACING THE "DUMMY" NUMBERS WITH ITS ACTUAL COSTS AND REVENUES TO ASSESS ON ITS OWN HOW THE USE OF EMCC'S PRODUCTS CAN FACILITATE BUSINESS IMPROVEMENTS.</t>
  </si>
  <si>
    <t>PROJECT TITLE</t>
  </si>
  <si>
    <t>TOTAL REALIZATION</t>
  </si>
  <si>
    <t>Other variable &amp; fixed costs: unknown &amp; assumed unchanged in assessments</t>
  </si>
  <si>
    <t>DOWNSTREAM PLAYER PURCHASING COSTS</t>
  </si>
  <si>
    <t>TOTAL COSTS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</si>
</sst>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quot;£&quot;* #,##0.00_-;\-&quot;£&quot;* #,##0.00_-;_-&quot;£&quot;* &quot;-&quot;??_-;_-@_-"/>
    <numFmt numFmtId="165" formatCode="0.0%"/>
    <numFmt numFmtId="166" formatCode="0.000"/>
    <numFmt numFmtId="167" formatCode="0.00000000000"/>
  </numFmts>
  <fonts count="25" x14ac:knownFonts="1">
    <font>
      <sz val="10"/>
      <name val="Arial"/>
    </font>
    <font>
      <sz val="10"/>
      <name val="Arial"/>
    </font>
    <font>
      <sz val="10"/>
      <name val="Arial"/>
      <family val="2"/>
    </font>
    <font>
      <sz val="8"/>
      <name val="Arial Narrow"/>
      <family val="2"/>
    </font>
    <font>
      <b/>
      <sz val="8"/>
      <color indexed="81"/>
      <name val="Tahoma"/>
    </font>
    <font>
      <b/>
      <sz val="8"/>
      <color indexed="81"/>
      <name val="Tahoma"/>
      <family val="2"/>
    </font>
    <font>
      <sz val="8"/>
      <color indexed="81"/>
      <name val="Tahoma"/>
    </font>
    <font>
      <sz val="10"/>
      <name val="Arial Narrow"/>
      <family val="2"/>
    </font>
    <font>
      <b/>
      <sz val="8"/>
      <name val="Arial Narrow"/>
      <family val="2"/>
    </font>
    <font>
      <sz val="12"/>
      <name val="Arial Narrow"/>
      <family val="2"/>
    </font>
    <font>
      <b/>
      <sz val="12"/>
      <name val="Arial Narrow"/>
      <family val="2"/>
    </font>
    <font>
      <b/>
      <sz val="12"/>
      <color indexed="9"/>
      <name val="Arial Narrow"/>
      <family val="2"/>
    </font>
    <font>
      <sz val="12"/>
      <color indexed="9"/>
      <name val="Arial Narrow"/>
      <family val="2"/>
    </font>
    <font>
      <b/>
      <sz val="8"/>
      <color indexed="26"/>
      <name val="Arial Narrow"/>
      <family val="2"/>
    </font>
    <font>
      <b/>
      <sz val="8"/>
      <color indexed="10"/>
      <name val="Arial Narrow"/>
      <family val="2"/>
    </font>
    <font>
      <b/>
      <sz val="8"/>
      <color indexed="8"/>
      <name val="Arial Narrow"/>
      <family val="2"/>
    </font>
    <font>
      <b/>
      <sz val="10"/>
      <color indexed="9"/>
      <name val="Arial Narrow"/>
      <family val="2"/>
    </font>
    <font>
      <sz val="8"/>
      <color indexed="42"/>
      <name val="Arial Narrow"/>
      <family val="2"/>
    </font>
    <font>
      <sz val="8"/>
      <color indexed="8"/>
      <name val="Arial Narrow"/>
      <family val="2"/>
    </font>
    <font>
      <sz val="8"/>
      <name val="Symbol"/>
      <family val="1"/>
      <charset val="2"/>
    </font>
    <font>
      <b/>
      <sz val="10"/>
      <name val="Arial"/>
      <family val="2"/>
    </font>
    <font>
      <sz val="8"/>
      <name val="Arial"/>
      <family val="2"/>
    </font>
    <font>
      <sz val="8"/>
      <color rgb="FFCCFFCC"/>
      <name val="Arial Narrow"/>
      <family val="2"/>
    </font>
    <font>
      <b/>
      <sz val="8"/>
      <color theme="0"/>
      <name val="Arial Narrow"/>
      <family val="2"/>
    </font>
    <font>
      <b/>
      <sz val="8"/>
      <color rgb="FFFF0000"/>
      <name val="Arial Narrow"/>
      <family val="2"/>
    </font>
  </fonts>
  <fills count="12">
    <fill>
      <patternFill patternType="none"/>
    </fill>
    <fill>
      <patternFill patternType="gray125"/>
    </fill>
    <fill>
      <patternFill patternType="solid">
        <fgColor indexed="42"/>
        <bgColor indexed="64"/>
      </patternFill>
    </fill>
    <fill>
      <patternFill patternType="solid">
        <fgColor indexed="26"/>
        <bgColor indexed="64"/>
      </patternFill>
    </fill>
    <fill>
      <patternFill patternType="solid">
        <fgColor indexed="41"/>
        <bgColor indexed="64"/>
      </patternFill>
    </fill>
    <fill>
      <patternFill patternType="solid">
        <fgColor indexed="10"/>
        <bgColor indexed="64"/>
      </patternFill>
    </fill>
    <fill>
      <patternFill patternType="solid">
        <fgColor indexed="27"/>
        <bgColor indexed="64"/>
      </patternFill>
    </fill>
    <fill>
      <patternFill patternType="solid">
        <fgColor indexed="9"/>
        <bgColor indexed="64"/>
      </patternFill>
    </fill>
    <fill>
      <patternFill patternType="solid">
        <fgColor rgb="FFCCFFFF"/>
        <bgColor indexed="64"/>
      </patternFill>
    </fill>
    <fill>
      <patternFill patternType="solid">
        <fgColor rgb="FFFFFFCC"/>
        <bgColor indexed="64"/>
      </patternFill>
    </fill>
    <fill>
      <patternFill patternType="solid">
        <fgColor theme="0"/>
        <bgColor indexed="64"/>
      </patternFill>
    </fill>
    <fill>
      <patternFill patternType="solid">
        <fgColor rgb="FF0066FF"/>
        <bgColor indexed="64"/>
      </patternFill>
    </fill>
  </fills>
  <borders count="13">
    <border>
      <left/>
      <right/>
      <top/>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thick">
        <color rgb="FFFFFFCC"/>
      </left>
      <right/>
      <top style="thick">
        <color rgb="FFFFFFCC"/>
      </top>
      <bottom/>
      <diagonal/>
    </border>
    <border>
      <left/>
      <right style="thick">
        <color rgb="FFFFFFCC"/>
      </right>
      <top style="thick">
        <color rgb="FFFFFFCC"/>
      </top>
      <bottom/>
      <diagonal/>
    </border>
    <border>
      <left style="thick">
        <color rgb="FFFFFFCC"/>
      </left>
      <right/>
      <top/>
      <bottom/>
      <diagonal/>
    </border>
    <border>
      <left/>
      <right style="thick">
        <color rgb="FFFFFFCC"/>
      </right>
      <top/>
      <bottom/>
      <diagonal/>
    </border>
    <border>
      <left/>
      <right/>
      <top style="medium">
        <color theme="0" tint="-0.14996795556505021"/>
      </top>
      <bottom style="medium">
        <color theme="0" tint="-0.14996795556505021"/>
      </bottom>
      <diagonal/>
    </border>
  </borders>
  <cellStyleXfs count="4">
    <xf numFmtId="0" fontId="0" fillId="0" borderId="0"/>
    <xf numFmtId="164" fontId="1" fillId="0" borderId="0" applyFont="0" applyFill="0" applyBorder="0" applyAlignment="0" applyProtection="0"/>
    <xf numFmtId="0" fontId="2" fillId="0" borderId="0"/>
    <xf numFmtId="0" fontId="1" fillId="0" borderId="0"/>
  </cellStyleXfs>
  <cellXfs count="215">
    <xf numFmtId="0" fontId="0" fillId="0" borderId="0" xfId="0"/>
    <xf numFmtId="0" fontId="3" fillId="3" borderId="0" xfId="0" applyFont="1" applyFill="1" applyBorder="1" applyAlignment="1" applyProtection="1">
      <alignment horizontal="center" vertical="center"/>
    </xf>
    <xf numFmtId="0" fontId="12" fillId="5" borderId="0" xfId="0" applyFont="1" applyFill="1" applyBorder="1" applyAlignment="1" applyProtection="1">
      <alignment horizontal="centerContinuous" vertical="center"/>
    </xf>
    <xf numFmtId="0" fontId="3" fillId="2" borderId="0" xfId="0" applyFont="1" applyFill="1" applyBorder="1" applyAlignment="1" applyProtection="1">
      <alignment vertical="center"/>
    </xf>
    <xf numFmtId="0" fontId="3" fillId="3" borderId="0" xfId="0" applyFont="1" applyFill="1" applyBorder="1" applyAlignment="1" applyProtection="1">
      <alignment vertical="center" wrapText="1"/>
    </xf>
    <xf numFmtId="0" fontId="3" fillId="7" borderId="1" xfId="0" applyFont="1" applyFill="1" applyBorder="1" applyAlignment="1" applyProtection="1">
      <alignment horizontal="center" vertical="center" wrapText="1"/>
      <protection locked="0"/>
    </xf>
    <xf numFmtId="0" fontId="3" fillId="5" borderId="0" xfId="0" applyFont="1" applyFill="1" applyBorder="1" applyAlignment="1" applyProtection="1">
      <alignment horizontal="center" vertical="center" wrapText="1"/>
    </xf>
    <xf numFmtId="0" fontId="3" fillId="3" borderId="0" xfId="0" applyFont="1" applyFill="1" applyBorder="1" applyAlignment="1" applyProtection="1">
      <alignment horizontal="center" vertical="center" wrapText="1"/>
    </xf>
    <xf numFmtId="0" fontId="13" fillId="3" borderId="0" xfId="0" applyFont="1" applyFill="1" applyBorder="1" applyAlignment="1" applyProtection="1">
      <alignment horizontal="center" vertical="center"/>
    </xf>
    <xf numFmtId="2" fontId="3" fillId="7" borderId="1" xfId="0" applyNumberFormat="1" applyFont="1" applyFill="1" applyBorder="1" applyAlignment="1" applyProtection="1">
      <alignment horizontal="center" vertical="center"/>
      <protection locked="0"/>
    </xf>
    <xf numFmtId="0" fontId="3" fillId="5" borderId="0" xfId="0" applyFont="1" applyFill="1" applyBorder="1" applyAlignment="1" applyProtection="1">
      <alignment horizontal="center" vertical="center"/>
    </xf>
    <xf numFmtId="0" fontId="3" fillId="4" borderId="0" xfId="0" applyFont="1" applyFill="1" applyBorder="1" applyAlignment="1" applyProtection="1">
      <alignment horizontal="center" vertical="center"/>
    </xf>
    <xf numFmtId="0" fontId="3" fillId="5" borderId="0" xfId="0" applyFont="1" applyFill="1" applyBorder="1" applyAlignment="1" applyProtection="1">
      <alignment vertical="center" wrapText="1"/>
    </xf>
    <xf numFmtId="0" fontId="3" fillId="5" borderId="0" xfId="0" applyFont="1" applyFill="1" applyBorder="1" applyAlignment="1" applyProtection="1">
      <alignment vertical="center"/>
    </xf>
    <xf numFmtId="2" fontId="3" fillId="3" borderId="0" xfId="0" applyNumberFormat="1" applyFont="1" applyFill="1" applyBorder="1" applyAlignment="1" applyProtection="1">
      <alignment horizontal="center" vertical="center"/>
    </xf>
    <xf numFmtId="0" fontId="3" fillId="2" borderId="0" xfId="0" applyFont="1" applyFill="1" applyBorder="1" applyAlignment="1" applyProtection="1">
      <alignment vertical="center" wrapText="1"/>
    </xf>
    <xf numFmtId="0" fontId="3" fillId="7" borderId="0" xfId="0" applyFont="1" applyFill="1" applyAlignment="1" applyProtection="1">
      <alignment vertical="center"/>
    </xf>
    <xf numFmtId="2" fontId="3" fillId="5" borderId="0" xfId="0" applyNumberFormat="1" applyFont="1" applyFill="1" applyBorder="1" applyAlignment="1" applyProtection="1">
      <alignment horizontal="center" vertical="center" wrapText="1"/>
    </xf>
    <xf numFmtId="0" fontId="3" fillId="7" borderId="0" xfId="0" applyFont="1" applyFill="1" applyBorder="1" applyAlignment="1" applyProtection="1">
      <alignment vertical="center"/>
    </xf>
    <xf numFmtId="1" fontId="3" fillId="7" borderId="1" xfId="0" applyNumberFormat="1" applyFont="1" applyFill="1" applyBorder="1" applyAlignment="1" applyProtection="1">
      <alignment horizontal="center" vertical="center" wrapText="1"/>
      <protection locked="0"/>
    </xf>
    <xf numFmtId="166" fontId="3" fillId="4" borderId="0" xfId="0" applyNumberFormat="1" applyFont="1" applyFill="1" applyBorder="1" applyAlignment="1" applyProtection="1">
      <alignment horizontal="center" vertical="center" wrapText="1"/>
    </xf>
    <xf numFmtId="0" fontId="8" fillId="9" borderId="0" xfId="0" applyFont="1" applyFill="1" applyBorder="1" applyAlignment="1" applyProtection="1">
      <alignment horizontal="center" vertical="center"/>
    </xf>
    <xf numFmtId="0" fontId="22" fillId="5" borderId="0" xfId="0" applyFont="1" applyFill="1" applyBorder="1" applyAlignment="1" applyProtection="1">
      <alignment vertical="center"/>
    </xf>
    <xf numFmtId="0" fontId="16" fillId="5" borderId="0" xfId="0" applyFont="1" applyFill="1" applyBorder="1" applyAlignment="1" applyProtection="1">
      <alignment horizontal="centerContinuous" vertical="center"/>
    </xf>
    <xf numFmtId="0" fontId="12" fillId="5" borderId="0" xfId="0" applyFont="1" applyFill="1" applyAlignment="1" applyProtection="1">
      <alignment horizontal="centerContinuous" vertical="center"/>
    </xf>
    <xf numFmtId="0" fontId="11" fillId="5" borderId="0" xfId="0" applyFont="1" applyFill="1" applyBorder="1" applyAlignment="1" applyProtection="1">
      <alignment horizontal="centerContinuous" vertical="center"/>
    </xf>
    <xf numFmtId="0" fontId="3" fillId="4" borderId="0" xfId="0" applyFont="1" applyFill="1" applyBorder="1" applyAlignment="1" applyProtection="1">
      <alignment horizontal="center" vertical="center" wrapText="1"/>
    </xf>
    <xf numFmtId="0" fontId="3" fillId="0" borderId="0" xfId="0" applyFont="1" applyBorder="1" applyAlignment="1" applyProtection="1">
      <alignment vertical="center"/>
    </xf>
    <xf numFmtId="0" fontId="3" fillId="3" borderId="0" xfId="0" applyFont="1" applyFill="1" applyBorder="1" applyAlignment="1" applyProtection="1">
      <alignment vertical="center"/>
    </xf>
    <xf numFmtId="0" fontId="8" fillId="3" borderId="0" xfId="0" applyFont="1" applyFill="1" applyBorder="1" applyAlignment="1" applyProtection="1">
      <alignment vertical="center"/>
    </xf>
    <xf numFmtId="0" fontId="3" fillId="0" borderId="0" xfId="0" applyFont="1" applyBorder="1" applyAlignment="1" applyProtection="1">
      <alignment horizontal="center" vertical="center"/>
    </xf>
    <xf numFmtId="0" fontId="8" fillId="3" borderId="0" xfId="0" applyFont="1" applyFill="1" applyBorder="1" applyAlignment="1" applyProtection="1">
      <alignment horizontal="center" vertical="center"/>
    </xf>
    <xf numFmtId="0" fontId="8" fillId="5" borderId="0" xfId="0" applyFont="1" applyFill="1" applyBorder="1" applyAlignment="1" applyProtection="1">
      <alignment horizontal="center" vertical="center" wrapText="1"/>
    </xf>
    <xf numFmtId="0" fontId="7" fillId="5" borderId="0" xfId="0" applyFont="1" applyFill="1" applyBorder="1" applyAlignment="1" applyProtection="1">
      <alignment horizontal="center" vertical="center" wrapText="1"/>
    </xf>
    <xf numFmtId="0" fontId="8" fillId="5" borderId="0" xfId="0" applyFont="1" applyFill="1" applyBorder="1" applyAlignment="1" applyProtection="1">
      <alignment vertical="center"/>
    </xf>
    <xf numFmtId="9" fontId="3" fillId="3" borderId="0" xfId="0" applyNumberFormat="1" applyFont="1" applyFill="1" applyBorder="1" applyAlignment="1" applyProtection="1">
      <alignment horizontal="center" vertical="center"/>
    </xf>
    <xf numFmtId="9" fontId="3" fillId="5" borderId="0" xfId="0" applyNumberFormat="1" applyFont="1" applyFill="1" applyBorder="1" applyAlignment="1" applyProtection="1">
      <alignment horizontal="center" vertical="center"/>
    </xf>
    <xf numFmtId="0" fontId="8" fillId="3" borderId="0" xfId="0" applyFont="1" applyFill="1" applyBorder="1" applyAlignment="1" applyProtection="1">
      <alignment horizontal="center" vertical="center" wrapText="1"/>
    </xf>
    <xf numFmtId="0" fontId="3" fillId="4" borderId="0" xfId="2" applyFont="1" applyFill="1" applyBorder="1" applyAlignment="1" applyProtection="1">
      <alignment horizontal="center" vertical="center"/>
    </xf>
    <xf numFmtId="1" fontId="3" fillId="7" borderId="1" xfId="3" applyNumberFormat="1" applyFont="1" applyFill="1" applyBorder="1" applyAlignment="1" applyProtection="1">
      <alignment horizontal="center" vertical="center"/>
      <protection locked="0"/>
    </xf>
    <xf numFmtId="0" fontId="8" fillId="5" borderId="0" xfId="0" applyFont="1" applyFill="1" applyBorder="1" applyAlignment="1" applyProtection="1">
      <alignment horizontal="center" vertical="center"/>
    </xf>
    <xf numFmtId="1" fontId="3" fillId="4" borderId="1" xfId="0" applyNumberFormat="1" applyFont="1" applyFill="1" applyBorder="1" applyAlignment="1" applyProtection="1">
      <alignment horizontal="center" vertical="center"/>
    </xf>
    <xf numFmtId="0" fontId="3" fillId="4" borderId="0" xfId="0" applyFont="1" applyFill="1" applyBorder="1" applyAlignment="1" applyProtection="1">
      <alignment vertical="center"/>
    </xf>
    <xf numFmtId="0" fontId="3" fillId="7" borderId="2" xfId="0" applyFont="1" applyFill="1" applyBorder="1" applyAlignment="1" applyProtection="1">
      <alignment horizontal="center" vertical="center"/>
      <protection locked="0"/>
    </xf>
    <xf numFmtId="0" fontId="3" fillId="7" borderId="2" xfId="3" applyFont="1" applyFill="1" applyBorder="1" applyAlignment="1" applyProtection="1">
      <alignment horizontal="center" vertical="center"/>
      <protection locked="0"/>
    </xf>
    <xf numFmtId="2" fontId="3" fillId="7" borderId="2" xfId="3" applyNumberFormat="1" applyFont="1" applyFill="1" applyBorder="1" applyAlignment="1" applyProtection="1">
      <alignment horizontal="center" vertical="center"/>
      <protection locked="0"/>
    </xf>
    <xf numFmtId="166" fontId="3" fillId="7" borderId="2" xfId="3" applyNumberFormat="1" applyFont="1" applyFill="1" applyBorder="1" applyAlignment="1" applyProtection="1">
      <alignment horizontal="center" vertical="center"/>
      <protection locked="0"/>
    </xf>
    <xf numFmtId="9" fontId="3" fillId="7" borderId="2" xfId="3" applyNumberFormat="1" applyFont="1" applyFill="1" applyBorder="1" applyAlignment="1" applyProtection="1">
      <alignment horizontal="center" vertical="center"/>
      <protection locked="0"/>
    </xf>
    <xf numFmtId="9" fontId="3" fillId="4" borderId="0" xfId="0" applyNumberFormat="1" applyFont="1" applyFill="1" applyBorder="1" applyAlignment="1" applyProtection="1">
      <alignment horizontal="center" vertical="center"/>
    </xf>
    <xf numFmtId="166" fontId="3" fillId="4" borderId="0" xfId="0" applyNumberFormat="1" applyFont="1" applyFill="1" applyBorder="1" applyAlignment="1" applyProtection="1">
      <alignment horizontal="center" vertical="center"/>
    </xf>
    <xf numFmtId="2" fontId="3" fillId="3" borderId="0" xfId="0" applyNumberFormat="1" applyFont="1" applyFill="1" applyBorder="1" applyAlignment="1" applyProtection="1">
      <alignment vertical="center"/>
    </xf>
    <xf numFmtId="166" fontId="3" fillId="5" borderId="0" xfId="0" applyNumberFormat="1" applyFont="1" applyFill="1" applyBorder="1" applyAlignment="1" applyProtection="1">
      <alignment horizontal="center" vertical="center"/>
    </xf>
    <xf numFmtId="9" fontId="3" fillId="4" borderId="3" xfId="0" applyNumberFormat="1" applyFont="1" applyFill="1" applyBorder="1" applyAlignment="1" applyProtection="1">
      <alignment horizontal="center" vertical="center"/>
    </xf>
    <xf numFmtId="0" fontId="3" fillId="7" borderId="3" xfId="0" applyFont="1" applyFill="1" applyBorder="1" applyAlignment="1" applyProtection="1">
      <alignment horizontal="center" vertical="center"/>
      <protection locked="0"/>
    </xf>
    <xf numFmtId="0" fontId="3" fillId="7" borderId="3" xfId="3" applyFont="1" applyFill="1" applyBorder="1" applyAlignment="1" applyProtection="1">
      <alignment horizontal="center" vertical="center"/>
      <protection locked="0"/>
    </xf>
    <xf numFmtId="2" fontId="3" fillId="7" borderId="3" xfId="3" applyNumberFormat="1" applyFont="1" applyFill="1" applyBorder="1" applyAlignment="1" applyProtection="1">
      <alignment horizontal="center" vertical="center"/>
      <protection locked="0"/>
    </xf>
    <xf numFmtId="166" fontId="3" fillId="7" borderId="3" xfId="3" applyNumberFormat="1" applyFont="1" applyFill="1" applyBorder="1" applyAlignment="1" applyProtection="1">
      <alignment horizontal="center" vertical="center"/>
      <protection locked="0"/>
    </xf>
    <xf numFmtId="9" fontId="3" fillId="7" borderId="3" xfId="3" applyNumberFormat="1" applyFont="1" applyFill="1" applyBorder="1" applyAlignment="1" applyProtection="1">
      <alignment horizontal="center" vertical="center"/>
      <protection locked="0"/>
    </xf>
    <xf numFmtId="0" fontId="3" fillId="7" borderId="4" xfId="0" applyFont="1" applyFill="1" applyBorder="1" applyAlignment="1" applyProtection="1">
      <alignment horizontal="center" vertical="center"/>
      <protection locked="0"/>
    </xf>
    <xf numFmtId="2" fontId="3" fillId="7" borderId="3" xfId="0" applyNumberFormat="1" applyFont="1" applyFill="1" applyBorder="1" applyAlignment="1" applyProtection="1">
      <alignment horizontal="center" vertical="center"/>
      <protection locked="0"/>
    </xf>
    <xf numFmtId="166" fontId="3" fillId="7" borderId="3" xfId="0" applyNumberFormat="1" applyFont="1" applyFill="1" applyBorder="1" applyAlignment="1" applyProtection="1">
      <alignment horizontal="center" vertical="center"/>
      <protection locked="0"/>
    </xf>
    <xf numFmtId="0" fontId="8" fillId="3" borderId="0" xfId="0" applyFont="1" applyFill="1" applyAlignment="1" applyProtection="1">
      <alignment vertical="center"/>
    </xf>
    <xf numFmtId="11" fontId="3" fillId="4" borderId="0" xfId="1" applyNumberFormat="1" applyFont="1" applyFill="1" applyBorder="1" applyAlignment="1" applyProtection="1">
      <alignment horizontal="center" vertical="center"/>
    </xf>
    <xf numFmtId="2" fontId="3" fillId="7" borderId="4" xfId="0" applyNumberFormat="1" applyFont="1" applyFill="1" applyBorder="1" applyAlignment="1" applyProtection="1">
      <alignment horizontal="center" vertical="center"/>
      <protection locked="0"/>
    </xf>
    <xf numFmtId="166" fontId="3" fillId="7" borderId="4" xfId="0" applyNumberFormat="1" applyFont="1" applyFill="1" applyBorder="1" applyAlignment="1" applyProtection="1">
      <alignment horizontal="center" vertical="center"/>
      <protection locked="0"/>
    </xf>
    <xf numFmtId="9" fontId="3" fillId="4" borderId="4" xfId="0" applyNumberFormat="1" applyFont="1" applyFill="1" applyBorder="1" applyAlignment="1" applyProtection="1">
      <alignment horizontal="center" vertical="center"/>
    </xf>
    <xf numFmtId="9" fontId="3" fillId="5" borderId="0" xfId="0" applyNumberFormat="1" applyFont="1" applyFill="1" applyBorder="1" applyAlignment="1" applyProtection="1">
      <alignment vertical="center"/>
    </xf>
    <xf numFmtId="9" fontId="3" fillId="7" borderId="4" xfId="3" applyNumberFormat="1" applyFont="1" applyFill="1" applyBorder="1" applyAlignment="1" applyProtection="1">
      <alignment horizontal="center" vertical="center"/>
      <protection locked="0"/>
    </xf>
    <xf numFmtId="0" fontId="8" fillId="6" borderId="0" xfId="0" applyFont="1" applyFill="1" applyBorder="1" applyAlignment="1" applyProtection="1">
      <alignment horizontal="center" vertical="center"/>
    </xf>
    <xf numFmtId="9" fontId="3" fillId="6" borderId="0" xfId="0" applyNumberFormat="1" applyFont="1" applyFill="1" applyBorder="1" applyAlignment="1" applyProtection="1">
      <alignment horizontal="center" vertical="center"/>
    </xf>
    <xf numFmtId="9" fontId="8" fillId="6" borderId="0" xfId="0" applyNumberFormat="1" applyFont="1" applyFill="1" applyBorder="1" applyAlignment="1" applyProtection="1">
      <alignment horizontal="center" vertical="center"/>
    </xf>
    <xf numFmtId="9" fontId="8" fillId="5" borderId="0" xfId="0" applyNumberFormat="1" applyFont="1" applyFill="1" applyBorder="1" applyAlignment="1" applyProtection="1">
      <alignment horizontal="right" vertical="center"/>
    </xf>
    <xf numFmtId="9" fontId="8" fillId="6" borderId="0" xfId="0" applyNumberFormat="1" applyFont="1" applyFill="1" applyBorder="1" applyAlignment="1" applyProtection="1">
      <alignment horizontal="right" vertical="center"/>
    </xf>
    <xf numFmtId="9" fontId="8" fillId="3" borderId="0" xfId="0" applyNumberFormat="1" applyFont="1" applyFill="1" applyBorder="1" applyAlignment="1" applyProtection="1">
      <alignment horizontal="right" vertical="center"/>
    </xf>
    <xf numFmtId="2" fontId="3" fillId="4" borderId="0" xfId="0" applyNumberFormat="1" applyFont="1" applyFill="1" applyBorder="1" applyAlignment="1" applyProtection="1">
      <alignment vertical="center"/>
    </xf>
    <xf numFmtId="9" fontId="3" fillId="7" borderId="1" xfId="0" applyNumberFormat="1" applyFont="1" applyFill="1" applyBorder="1" applyAlignment="1" applyProtection="1">
      <alignment horizontal="center" vertical="center"/>
      <protection locked="0"/>
    </xf>
    <xf numFmtId="0" fontId="3" fillId="7" borderId="1" xfId="0" applyFont="1" applyFill="1" applyBorder="1" applyAlignment="1" applyProtection="1">
      <alignment horizontal="center" vertical="center"/>
      <protection locked="0"/>
    </xf>
    <xf numFmtId="2" fontId="3" fillId="4" borderId="0" xfId="0" applyNumberFormat="1" applyFont="1" applyFill="1" applyBorder="1" applyAlignment="1" applyProtection="1">
      <alignment horizontal="center" vertical="center"/>
    </xf>
    <xf numFmtId="2" fontId="8" fillId="5" borderId="0" xfId="0" applyNumberFormat="1" applyFont="1" applyFill="1" applyBorder="1" applyAlignment="1" applyProtection="1">
      <alignment horizontal="left" vertical="center"/>
    </xf>
    <xf numFmtId="2" fontId="3" fillId="5" borderId="0" xfId="0" applyNumberFormat="1" applyFont="1" applyFill="1" applyBorder="1" applyAlignment="1" applyProtection="1">
      <alignment horizontal="center" vertical="center"/>
    </xf>
    <xf numFmtId="2" fontId="3" fillId="5" borderId="0" xfId="0" applyNumberFormat="1" applyFont="1" applyFill="1" applyBorder="1" applyAlignment="1" applyProtection="1">
      <alignment vertical="center"/>
    </xf>
    <xf numFmtId="1" fontId="3" fillId="0" borderId="2" xfId="0" applyNumberFormat="1" applyFont="1" applyBorder="1" applyAlignment="1" applyProtection="1">
      <alignment horizontal="center" vertical="center"/>
      <protection locked="0"/>
    </xf>
    <xf numFmtId="0" fontId="3" fillId="5" borderId="0" xfId="0" applyFont="1" applyFill="1" applyBorder="1" applyAlignment="1" applyProtection="1">
      <alignment horizontal="centerContinuous" vertical="center"/>
    </xf>
    <xf numFmtId="11" fontId="3" fillId="4" borderId="0" xfId="0" applyNumberFormat="1" applyFont="1" applyFill="1" applyBorder="1" applyAlignment="1" applyProtection="1">
      <alignment horizontal="center" vertical="center"/>
    </xf>
    <xf numFmtId="0" fontId="18" fillId="5" borderId="0" xfId="0" applyFont="1" applyFill="1" applyBorder="1" applyAlignment="1" applyProtection="1">
      <alignment horizontal="center" vertical="center"/>
    </xf>
    <xf numFmtId="0" fontId="18" fillId="5" borderId="0" xfId="0" applyFont="1" applyFill="1" applyBorder="1" applyAlignment="1" applyProtection="1">
      <alignment vertical="center"/>
    </xf>
    <xf numFmtId="0" fontId="19" fillId="3" borderId="0" xfId="0" applyFont="1" applyFill="1" applyBorder="1" applyAlignment="1" applyProtection="1">
      <alignment horizontal="center" vertical="center"/>
    </xf>
    <xf numFmtId="0" fontId="3" fillId="5" borderId="0" xfId="0" applyFont="1" applyFill="1" applyAlignment="1" applyProtection="1">
      <alignment vertical="center"/>
    </xf>
    <xf numFmtId="2" fontId="3" fillId="8" borderId="0" xfId="0" applyNumberFormat="1" applyFont="1" applyFill="1" applyAlignment="1" applyProtection="1">
      <alignment vertical="center"/>
    </xf>
    <xf numFmtId="2" fontId="3" fillId="7" borderId="0" xfId="0" applyNumberFormat="1" applyFont="1" applyFill="1" applyBorder="1" applyAlignment="1" applyProtection="1">
      <alignment horizontal="center" vertical="center"/>
    </xf>
    <xf numFmtId="0" fontId="22" fillId="2" borderId="0" xfId="0" applyFont="1" applyFill="1" applyBorder="1" applyAlignment="1" applyProtection="1">
      <alignment vertical="center"/>
    </xf>
    <xf numFmtId="0" fontId="17" fillId="2" borderId="0" xfId="0" applyFont="1" applyFill="1" applyAlignment="1" applyProtection="1">
      <alignment vertical="center"/>
    </xf>
    <xf numFmtId="0" fontId="17" fillId="5" borderId="0" xfId="0" applyFont="1" applyFill="1" applyBorder="1" applyAlignment="1" applyProtection="1">
      <alignment vertical="center"/>
    </xf>
    <xf numFmtId="166" fontId="3" fillId="7" borderId="0" xfId="0" applyNumberFormat="1" applyFont="1" applyFill="1" applyAlignment="1" applyProtection="1">
      <alignment vertical="center"/>
    </xf>
    <xf numFmtId="166" fontId="3" fillId="5" borderId="0" xfId="0" applyNumberFormat="1" applyFont="1" applyFill="1" applyBorder="1" applyAlignment="1" applyProtection="1">
      <alignment vertical="center"/>
    </xf>
    <xf numFmtId="165" fontId="3" fillId="0" borderId="0" xfId="0" applyNumberFormat="1" applyFont="1" applyBorder="1" applyAlignment="1" applyProtection="1">
      <alignment horizontal="center" vertical="center"/>
    </xf>
    <xf numFmtId="0" fontId="3" fillId="7" borderId="0" xfId="0" applyFont="1" applyFill="1" applyBorder="1" applyAlignment="1" applyProtection="1">
      <alignment horizontal="right" vertical="center"/>
    </xf>
    <xf numFmtId="166" fontId="3" fillId="0" borderId="0" xfId="0" quotePrefix="1" applyNumberFormat="1" applyFont="1" applyBorder="1" applyAlignment="1" applyProtection="1">
      <alignment horizontal="center" vertical="center"/>
    </xf>
    <xf numFmtId="166" fontId="3" fillId="0" borderId="0" xfId="0" applyNumberFormat="1" applyFont="1" applyBorder="1" applyAlignment="1" applyProtection="1">
      <alignment horizontal="center" vertical="center"/>
    </xf>
    <xf numFmtId="165" fontId="3" fillId="7" borderId="0" xfId="0" applyNumberFormat="1" applyFont="1" applyFill="1" applyBorder="1" applyAlignment="1" applyProtection="1">
      <alignment horizontal="center" vertical="center"/>
    </xf>
    <xf numFmtId="166" fontId="3" fillId="7" borderId="0" xfId="0" applyNumberFormat="1" applyFont="1" applyFill="1" applyBorder="1" applyAlignment="1" applyProtection="1">
      <alignment horizontal="center" vertical="center"/>
    </xf>
    <xf numFmtId="0" fontId="3" fillId="7" borderId="0" xfId="0" applyFont="1" applyFill="1" applyBorder="1" applyAlignment="1" applyProtection="1">
      <alignment horizontal="center" vertical="center"/>
    </xf>
    <xf numFmtId="0" fontId="3" fillId="10" borderId="0" xfId="0" applyFont="1" applyFill="1" applyBorder="1" applyAlignment="1" applyProtection="1">
      <alignment horizontal="right" vertical="center"/>
    </xf>
    <xf numFmtId="0" fontId="3" fillId="2" borderId="0" xfId="0" applyFont="1" applyFill="1" applyAlignment="1" applyProtection="1">
      <alignment vertical="center"/>
    </xf>
    <xf numFmtId="0" fontId="3" fillId="2" borderId="0" xfId="0" applyFont="1" applyFill="1" applyBorder="1" applyAlignment="1" applyProtection="1">
      <alignment horizontal="right" vertical="center"/>
    </xf>
    <xf numFmtId="10" fontId="14" fillId="2" borderId="0" xfId="0" applyNumberFormat="1" applyFont="1" applyFill="1" applyBorder="1" applyAlignment="1" applyProtection="1">
      <alignment horizontal="center" vertical="center"/>
    </xf>
    <xf numFmtId="0" fontId="8" fillId="5" borderId="0" xfId="0" applyFont="1" applyFill="1" applyBorder="1" applyAlignment="1" applyProtection="1">
      <alignment horizontal="right" vertical="center"/>
    </xf>
    <xf numFmtId="0" fontId="3" fillId="8" borderId="0" xfId="0" applyFont="1" applyFill="1" applyBorder="1" applyAlignment="1" applyProtection="1">
      <alignment vertical="center"/>
    </xf>
    <xf numFmtId="2" fontId="3" fillId="8" borderId="0" xfId="0" applyNumberFormat="1" applyFont="1" applyFill="1" applyBorder="1" applyAlignment="1" applyProtection="1">
      <alignment horizontal="center" vertical="center"/>
    </xf>
    <xf numFmtId="9" fontId="3" fillId="7" borderId="3" xfId="0" applyNumberFormat="1" applyFont="1" applyFill="1" applyBorder="1" applyAlignment="1" applyProtection="1">
      <alignment horizontal="center" vertical="center"/>
      <protection locked="0"/>
    </xf>
    <xf numFmtId="0" fontId="3" fillId="10" borderId="0" xfId="0" applyFont="1" applyFill="1" applyBorder="1" applyAlignment="1" applyProtection="1">
      <alignment vertical="center"/>
    </xf>
    <xf numFmtId="166" fontId="3" fillId="10" borderId="0" xfId="0" applyNumberFormat="1" applyFont="1" applyFill="1" applyBorder="1" applyAlignment="1" applyProtection="1">
      <alignment horizontal="center" vertical="center"/>
    </xf>
    <xf numFmtId="0" fontId="3" fillId="10" borderId="0" xfId="0" applyFont="1" applyFill="1" applyBorder="1" applyAlignment="1" applyProtection="1">
      <alignment horizontal="center" vertical="center"/>
    </xf>
    <xf numFmtId="0" fontId="3" fillId="10" borderId="0" xfId="0" applyFont="1" applyFill="1" applyBorder="1" applyAlignment="1" applyProtection="1">
      <alignment vertical="center" wrapText="1"/>
    </xf>
    <xf numFmtId="166" fontId="3" fillId="10" borderId="0" xfId="0" applyNumberFormat="1" applyFont="1" applyFill="1" applyBorder="1" applyAlignment="1" applyProtection="1">
      <alignment horizontal="center" vertical="center" wrapText="1"/>
    </xf>
    <xf numFmtId="0" fontId="3" fillId="10" borderId="0" xfId="0" applyFont="1" applyFill="1" applyAlignment="1" applyProtection="1">
      <alignment vertical="center"/>
    </xf>
    <xf numFmtId="0" fontId="14" fillId="7" borderId="0" xfId="0" applyFont="1" applyFill="1" applyBorder="1" applyAlignment="1" applyProtection="1">
      <alignment horizontal="centerContinuous" vertical="center"/>
    </xf>
    <xf numFmtId="0" fontId="3" fillId="10" borderId="0" xfId="0" applyFont="1" applyFill="1" applyBorder="1" applyAlignment="1" applyProtection="1">
      <alignment horizontal="centerContinuous" vertical="center"/>
    </xf>
    <xf numFmtId="0" fontId="8" fillId="10" borderId="0" xfId="0" applyFont="1" applyFill="1" applyBorder="1" applyAlignment="1" applyProtection="1">
      <alignment horizontal="centerContinuous" vertical="center"/>
    </xf>
    <xf numFmtId="0" fontId="3" fillId="10" borderId="0" xfId="0" applyFont="1" applyFill="1" applyBorder="1" applyAlignment="1" applyProtection="1">
      <alignment horizontal="centerContinuous" vertical="center" wrapText="1"/>
    </xf>
    <xf numFmtId="0" fontId="9" fillId="3" borderId="0" xfId="0" applyFont="1" applyFill="1" applyBorder="1" applyAlignment="1" applyProtection="1">
      <alignment horizontal="center" vertical="center"/>
    </xf>
    <xf numFmtId="2" fontId="8" fillId="5" borderId="0" xfId="0" applyNumberFormat="1" applyFont="1" applyFill="1" applyBorder="1" applyAlignment="1" applyProtection="1">
      <alignment horizontal="center" vertical="center"/>
    </xf>
    <xf numFmtId="0" fontId="7" fillId="4" borderId="0" xfId="0" applyFont="1" applyFill="1" applyBorder="1" applyAlignment="1" applyProtection="1">
      <alignment horizontal="center" vertical="center" wrapText="1"/>
    </xf>
    <xf numFmtId="0" fontId="3" fillId="8" borderId="0" xfId="0" applyFont="1" applyFill="1" applyBorder="1" applyAlignment="1" applyProtection="1">
      <alignment horizontal="center" vertical="center"/>
    </xf>
    <xf numFmtId="0" fontId="12" fillId="5" borderId="0" xfId="0" applyFont="1" applyFill="1" applyBorder="1" applyAlignment="1" applyProtection="1">
      <alignment horizontal="center" vertical="center"/>
    </xf>
    <xf numFmtId="0" fontId="9" fillId="2" borderId="0" xfId="0" applyFont="1" applyFill="1" applyAlignment="1" applyProtection="1">
      <alignment horizontal="center" vertical="center" wrapText="1"/>
    </xf>
    <xf numFmtId="0" fontId="9" fillId="5" borderId="0" xfId="0" applyFont="1" applyFill="1" applyBorder="1" applyAlignment="1" applyProtection="1">
      <alignment horizontal="center" vertical="center"/>
    </xf>
    <xf numFmtId="0" fontId="3" fillId="10" borderId="0" xfId="0" applyFont="1" applyFill="1" applyAlignment="1" applyProtection="1">
      <alignment horizontal="centerContinuous" vertical="center"/>
    </xf>
    <xf numFmtId="0" fontId="18" fillId="5" borderId="0" xfId="0" applyFont="1" applyFill="1" applyBorder="1" applyAlignment="1" applyProtection="1">
      <alignment horizontal="centerContinuous" vertical="center"/>
    </xf>
    <xf numFmtId="0" fontId="3" fillId="4" borderId="0" xfId="0" applyFont="1" applyFill="1" applyBorder="1" applyAlignment="1" applyProtection="1">
      <alignment horizontal="centerContinuous" vertical="center"/>
    </xf>
    <xf numFmtId="166" fontId="3" fillId="10" borderId="0" xfId="0" quotePrefix="1" applyNumberFormat="1" applyFont="1" applyFill="1" applyBorder="1" applyAlignment="1" applyProtection="1">
      <alignment horizontal="center" vertical="center"/>
    </xf>
    <xf numFmtId="0" fontId="3" fillId="4" borderId="0" xfId="0" applyFont="1" applyFill="1" applyBorder="1" applyAlignment="1" applyProtection="1">
      <alignment horizontal="centerContinuous" vertical="center" wrapText="1"/>
    </xf>
    <xf numFmtId="0" fontId="3" fillId="8" borderId="0" xfId="0" applyFont="1" applyFill="1" applyBorder="1" applyAlignment="1" applyProtection="1">
      <alignment horizontal="centerContinuous" vertical="center" wrapText="1"/>
    </xf>
    <xf numFmtId="0" fontId="8" fillId="8" borderId="0" xfId="0" applyFont="1" applyFill="1" applyBorder="1" applyAlignment="1" applyProtection="1">
      <alignment horizontal="centerContinuous" vertical="center" wrapText="1"/>
    </xf>
    <xf numFmtId="2" fontId="3" fillId="8" borderId="10" xfId="0" applyNumberFormat="1" applyFont="1" applyFill="1" applyBorder="1" applyAlignment="1" applyProtection="1">
      <alignment horizontal="centerContinuous" vertical="center" wrapText="1"/>
    </xf>
    <xf numFmtId="166" fontId="3" fillId="8" borderId="10" xfId="0" applyNumberFormat="1" applyFont="1" applyFill="1" applyBorder="1" applyAlignment="1" applyProtection="1">
      <alignment horizontal="centerContinuous" vertical="center" wrapText="1"/>
    </xf>
    <xf numFmtId="2" fontId="3" fillId="8" borderId="0" xfId="0" applyNumberFormat="1" applyFont="1" applyFill="1" applyBorder="1" applyAlignment="1" applyProtection="1">
      <alignment horizontal="centerContinuous" vertical="center" wrapText="1"/>
    </xf>
    <xf numFmtId="166" fontId="3" fillId="8" borderId="0" xfId="0" applyNumberFormat="1" applyFont="1" applyFill="1" applyBorder="1" applyAlignment="1" applyProtection="1">
      <alignment horizontal="centerContinuous" vertical="center" wrapText="1"/>
    </xf>
    <xf numFmtId="0" fontId="8" fillId="8" borderId="0" xfId="0" applyFont="1" applyFill="1" applyAlignment="1" applyProtection="1">
      <alignment horizontal="centerContinuous" vertical="center"/>
    </xf>
    <xf numFmtId="0" fontId="8" fillId="8" borderId="8" xfId="0" applyFont="1" applyFill="1" applyBorder="1" applyAlignment="1" applyProtection="1">
      <alignment horizontal="centerContinuous" vertical="center" wrapText="1"/>
    </xf>
    <xf numFmtId="0" fontId="20" fillId="8" borderId="9" xfId="0" applyFont="1" applyFill="1" applyBorder="1" applyAlignment="1" applyProtection="1">
      <alignment horizontal="centerContinuous" vertical="center" wrapText="1"/>
    </xf>
    <xf numFmtId="0" fontId="20" fillId="8" borderId="11" xfId="0" applyFont="1" applyFill="1" applyBorder="1" applyAlignment="1" applyProtection="1">
      <alignment horizontal="centerContinuous" vertical="center" wrapText="1"/>
    </xf>
    <xf numFmtId="0" fontId="0" fillId="0" borderId="0" xfId="0" applyAlignment="1" applyProtection="1">
      <alignment horizontal="centerContinuous" vertical="center"/>
    </xf>
    <xf numFmtId="0" fontId="0" fillId="10" borderId="0" xfId="0" applyFill="1" applyAlignment="1" applyProtection="1">
      <alignment vertical="center"/>
    </xf>
    <xf numFmtId="0" fontId="8" fillId="4" borderId="0" xfId="0" applyFont="1" applyFill="1" applyBorder="1" applyAlignment="1" applyProtection="1">
      <alignment horizontal="centerContinuous" vertical="center"/>
    </xf>
    <xf numFmtId="0" fontId="15" fillId="6" borderId="0" xfId="0" applyFont="1" applyFill="1" applyBorder="1" applyAlignment="1" applyProtection="1">
      <alignment horizontal="centerContinuous" vertical="center"/>
    </xf>
    <xf numFmtId="0" fontId="8" fillId="4" borderId="0" xfId="0" applyFont="1" applyFill="1" applyBorder="1" applyAlignment="1" applyProtection="1">
      <alignment horizontal="center" vertical="center"/>
    </xf>
    <xf numFmtId="0" fontId="0" fillId="0" borderId="0" xfId="0" applyAlignment="1" applyProtection="1">
      <alignment vertical="center"/>
    </xf>
    <xf numFmtId="0" fontId="8" fillId="6" borderId="0" xfId="0" applyFont="1" applyFill="1" applyBorder="1" applyAlignment="1" applyProtection="1">
      <alignment horizontal="centerContinuous" vertical="center"/>
    </xf>
    <xf numFmtId="0" fontId="0" fillId="0" borderId="0" xfId="0" applyAlignment="1" applyProtection="1">
      <alignment vertical="center"/>
    </xf>
    <xf numFmtId="2" fontId="24" fillId="7" borderId="0" xfId="0" applyNumberFormat="1" applyFont="1" applyFill="1" applyBorder="1" applyAlignment="1" applyProtection="1">
      <alignment horizontal="center" vertical="center"/>
    </xf>
    <xf numFmtId="0" fontId="24" fillId="10" borderId="0" xfId="0" applyFont="1" applyFill="1" applyBorder="1" applyAlignment="1" applyProtection="1">
      <alignment vertical="center"/>
    </xf>
    <xf numFmtId="166" fontId="8" fillId="10" borderId="0" xfId="0" applyNumberFormat="1" applyFont="1" applyFill="1" applyBorder="1" applyAlignment="1" applyProtection="1">
      <alignment horizontal="center" vertical="center" wrapText="1"/>
    </xf>
    <xf numFmtId="0" fontId="8" fillId="10" borderId="0" xfId="0" applyFont="1" applyFill="1" applyBorder="1" applyAlignment="1" applyProtection="1">
      <alignment horizontal="center" vertical="center"/>
    </xf>
    <xf numFmtId="166" fontId="8" fillId="10" borderId="0" xfId="0" applyNumberFormat="1" applyFont="1" applyFill="1" applyBorder="1" applyAlignment="1" applyProtection="1">
      <alignment horizontal="center" vertical="center"/>
    </xf>
    <xf numFmtId="0" fontId="8" fillId="0" borderId="0" xfId="0" applyFont="1" applyBorder="1" applyAlignment="1" applyProtection="1">
      <alignment horizontal="center" vertical="center"/>
    </xf>
    <xf numFmtId="166" fontId="8" fillId="0" borderId="0" xfId="0" applyNumberFormat="1" applyFont="1" applyBorder="1" applyAlignment="1" applyProtection="1">
      <alignment horizontal="center" vertical="center"/>
    </xf>
    <xf numFmtId="165" fontId="8" fillId="0" borderId="0" xfId="0" applyNumberFormat="1" applyFont="1" applyBorder="1" applyAlignment="1" applyProtection="1">
      <alignment horizontal="center" vertical="center"/>
    </xf>
    <xf numFmtId="165" fontId="8" fillId="7" borderId="0" xfId="0" applyNumberFormat="1" applyFont="1" applyFill="1" applyBorder="1" applyAlignment="1" applyProtection="1">
      <alignment horizontal="center" vertical="center"/>
    </xf>
    <xf numFmtId="0" fontId="20" fillId="0" borderId="0" xfId="0" applyFont="1" applyAlignment="1" applyProtection="1">
      <alignment vertical="center"/>
    </xf>
    <xf numFmtId="0" fontId="3" fillId="10" borderId="0" xfId="0" applyFont="1" applyFill="1" applyBorder="1" applyAlignment="1" applyProtection="1">
      <alignment horizontal="left" vertical="center"/>
    </xf>
    <xf numFmtId="0" fontId="3" fillId="10" borderId="0" xfId="0" applyFont="1" applyFill="1" applyBorder="1" applyAlignment="1" applyProtection="1">
      <alignment horizontal="left" vertical="center" wrapText="1"/>
    </xf>
    <xf numFmtId="0" fontId="8" fillId="10" borderId="0" xfId="0" applyFont="1" applyFill="1" applyBorder="1" applyAlignment="1" applyProtection="1">
      <alignment horizontal="left" vertical="center" wrapText="1"/>
    </xf>
    <xf numFmtId="0" fontId="8" fillId="10" borderId="0" xfId="0" applyFont="1" applyFill="1" applyBorder="1" applyAlignment="1" applyProtection="1">
      <alignment horizontal="left" vertical="center"/>
    </xf>
    <xf numFmtId="2" fontId="24" fillId="10" borderId="0" xfId="0" applyNumberFormat="1" applyFont="1" applyFill="1" applyBorder="1" applyAlignment="1" applyProtection="1">
      <alignment horizontal="centerContinuous" vertical="center"/>
    </xf>
    <xf numFmtId="165" fontId="8" fillId="0" borderId="0" xfId="0" applyNumberFormat="1" applyFont="1" applyBorder="1" applyAlignment="1" applyProtection="1">
      <alignment horizontal="left" vertical="center"/>
    </xf>
    <xf numFmtId="165" fontId="8" fillId="0" borderId="0" xfId="0" applyNumberFormat="1" applyFont="1" applyAlignment="1" applyProtection="1">
      <alignment horizontal="left" vertical="center"/>
    </xf>
    <xf numFmtId="165" fontId="3" fillId="0" borderId="0" xfId="0" applyNumberFormat="1" applyFont="1" applyAlignment="1" applyProtection="1">
      <alignment horizontal="left" vertical="center"/>
    </xf>
    <xf numFmtId="0" fontId="8" fillId="0" borderId="12" xfId="0" applyFont="1" applyBorder="1" applyAlignment="1" applyProtection="1">
      <alignment horizontal="centerContinuous" vertical="center"/>
    </xf>
    <xf numFmtId="0" fontId="0" fillId="0" borderId="12" xfId="0" applyBorder="1" applyAlignment="1" applyProtection="1">
      <alignment horizontal="centerContinuous" vertical="center"/>
    </xf>
    <xf numFmtId="0" fontId="3" fillId="0" borderId="12" xfId="0" applyFont="1" applyBorder="1" applyAlignment="1" applyProtection="1">
      <alignment horizontal="centerContinuous" vertical="center" wrapText="1"/>
    </xf>
    <xf numFmtId="0" fontId="8" fillId="7" borderId="12" xfId="0" applyFont="1" applyFill="1" applyBorder="1" applyAlignment="1" applyProtection="1">
      <alignment horizontal="centerContinuous" vertical="center"/>
    </xf>
    <xf numFmtId="0" fontId="3" fillId="0" borderId="12" xfId="0" applyFont="1" applyBorder="1" applyAlignment="1" applyProtection="1">
      <alignment horizontal="centerContinuous" vertical="center"/>
    </xf>
    <xf numFmtId="0" fontId="3" fillId="10" borderId="12" xfId="0" applyFont="1" applyFill="1" applyBorder="1" applyAlignment="1" applyProtection="1">
      <alignment horizontal="centerContinuous" vertical="center"/>
    </xf>
    <xf numFmtId="0" fontId="0" fillId="10" borderId="12" xfId="0" applyFill="1" applyBorder="1" applyAlignment="1" applyProtection="1">
      <alignment horizontal="centerContinuous" vertical="center"/>
    </xf>
    <xf numFmtId="166" fontId="3" fillId="7" borderId="12" xfId="0" applyNumberFormat="1" applyFont="1" applyFill="1" applyBorder="1" applyAlignment="1" applyProtection="1">
      <alignment horizontal="centerContinuous" vertical="center"/>
    </xf>
    <xf numFmtId="0" fontId="3" fillId="7" borderId="12" xfId="0" applyFont="1" applyFill="1" applyBorder="1" applyAlignment="1" applyProtection="1">
      <alignment horizontal="centerContinuous" vertical="center"/>
    </xf>
    <xf numFmtId="0" fontId="3" fillId="0" borderId="0" xfId="0" applyFont="1" applyBorder="1" applyAlignment="1" applyProtection="1">
      <alignment horizontal="left" vertical="center" indent="1"/>
    </xf>
    <xf numFmtId="0" fontId="3" fillId="7" borderId="0" xfId="0" applyFont="1" applyFill="1" applyBorder="1" applyAlignment="1" applyProtection="1">
      <alignment horizontal="left" vertical="center" indent="1"/>
    </xf>
    <xf numFmtId="0" fontId="8" fillId="10" borderId="0" xfId="0" applyFont="1" applyFill="1" applyBorder="1" applyAlignment="1" applyProtection="1">
      <alignment horizontal="right" vertical="center" indent="1"/>
    </xf>
    <xf numFmtId="0" fontId="3" fillId="7" borderId="0" xfId="0" applyFont="1" applyFill="1" applyBorder="1" applyAlignment="1" applyProtection="1">
      <alignment horizontal="centerContinuous" vertical="top"/>
    </xf>
    <xf numFmtId="0" fontId="3" fillId="0" borderId="0" xfId="0" applyFont="1" applyBorder="1" applyAlignment="1" applyProtection="1">
      <alignment horizontal="centerContinuous" vertical="top"/>
    </xf>
    <xf numFmtId="0" fontId="3" fillId="10" borderId="0" xfId="0" applyFont="1" applyFill="1" applyBorder="1" applyAlignment="1" applyProtection="1">
      <alignment horizontal="centerContinuous" vertical="top"/>
    </xf>
    <xf numFmtId="0" fontId="0" fillId="10" borderId="0" xfId="0" applyFill="1" applyAlignment="1" applyProtection="1">
      <alignment horizontal="centerContinuous" vertical="top"/>
    </xf>
    <xf numFmtId="0" fontId="3" fillId="10" borderId="0" xfId="0" applyFont="1" applyFill="1" applyAlignment="1" applyProtection="1">
      <alignment horizontal="centerContinuous" vertical="top"/>
    </xf>
    <xf numFmtId="0" fontId="3" fillId="2" borderId="0" xfId="0" applyFont="1" applyFill="1" applyBorder="1" applyAlignment="1" applyProtection="1">
      <alignment vertical="top"/>
    </xf>
    <xf numFmtId="0" fontId="0" fillId="0" borderId="0" xfId="0" applyAlignment="1" applyProtection="1">
      <alignment vertical="top"/>
    </xf>
    <xf numFmtId="0" fontId="3" fillId="0" borderId="0" xfId="0" applyFont="1" applyBorder="1" applyAlignment="1" applyProtection="1">
      <alignment vertical="top"/>
    </xf>
    <xf numFmtId="0" fontId="3" fillId="7" borderId="0" xfId="0" applyFont="1" applyFill="1" applyAlignment="1" applyProtection="1">
      <alignment vertical="top"/>
    </xf>
    <xf numFmtId="0" fontId="3" fillId="7" borderId="0" xfId="0" applyFont="1" applyFill="1" applyBorder="1" applyAlignment="1" applyProtection="1">
      <alignment vertical="top"/>
    </xf>
    <xf numFmtId="0" fontId="3" fillId="7" borderId="0" xfId="0" applyFont="1" applyFill="1" applyBorder="1" applyAlignment="1" applyProtection="1">
      <alignment horizontal="center" vertical="top"/>
    </xf>
    <xf numFmtId="0" fontId="3" fillId="2" borderId="0" xfId="0" applyFont="1" applyFill="1" applyAlignment="1" applyProtection="1">
      <alignment vertical="top"/>
    </xf>
    <xf numFmtId="0" fontId="3" fillId="5" borderId="0" xfId="0" applyFont="1" applyFill="1" applyBorder="1" applyAlignment="1" applyProtection="1">
      <alignment vertical="top"/>
    </xf>
    <xf numFmtId="166" fontId="3" fillId="5" borderId="0" xfId="0" applyNumberFormat="1" applyFont="1" applyFill="1" applyBorder="1" applyAlignment="1" applyProtection="1">
      <alignment vertical="top"/>
    </xf>
    <xf numFmtId="0" fontId="17" fillId="5" borderId="0" xfId="0" applyFont="1" applyFill="1" applyBorder="1" applyAlignment="1" applyProtection="1">
      <alignment vertical="top"/>
    </xf>
    <xf numFmtId="0" fontId="3" fillId="5" borderId="0" xfId="0" applyFont="1" applyFill="1" applyAlignment="1" applyProtection="1">
      <alignment vertical="top"/>
    </xf>
    <xf numFmtId="167" fontId="3" fillId="2" borderId="0" xfId="0" applyNumberFormat="1" applyFont="1" applyFill="1" applyBorder="1" applyAlignment="1" applyProtection="1">
      <alignment vertical="center"/>
    </xf>
    <xf numFmtId="0" fontId="3" fillId="0" borderId="0" xfId="0" applyFont="1" applyAlignment="1">
      <alignment vertical="center" wrapText="1"/>
    </xf>
    <xf numFmtId="0" fontId="3" fillId="0" borderId="0" xfId="0" applyFont="1" applyAlignment="1">
      <alignment horizontal="center" vertical="center" wrapText="1"/>
    </xf>
    <xf numFmtId="166" fontId="3" fillId="0" borderId="0" xfId="0" applyNumberFormat="1" applyFont="1" applyAlignment="1">
      <alignment horizontal="center" vertical="center" wrapText="1"/>
    </xf>
    <xf numFmtId="0" fontId="0" fillId="0" borderId="0" xfId="0" applyAlignment="1" applyProtection="1">
      <alignment vertical="center"/>
    </xf>
    <xf numFmtId="0" fontId="10" fillId="2" borderId="0" xfId="0" applyFont="1" applyFill="1" applyBorder="1" applyAlignment="1" applyProtection="1">
      <alignment horizontal="center" vertical="center" textRotation="90" wrapText="1"/>
    </xf>
    <xf numFmtId="0" fontId="7" fillId="0" borderId="0" xfId="0" applyFont="1" applyAlignment="1" applyProtection="1">
      <alignment horizontal="center" vertical="center" textRotation="90" wrapText="1"/>
    </xf>
    <xf numFmtId="0" fontId="23" fillId="11" borderId="0" xfId="0" applyFont="1" applyFill="1" applyAlignment="1" applyProtection="1">
      <alignment horizontal="left" vertical="center" wrapText="1"/>
    </xf>
    <xf numFmtId="0" fontId="21" fillId="11" borderId="0" xfId="0" applyFont="1" applyFill="1" applyAlignment="1" applyProtection="1">
      <alignment horizontal="left" vertical="center" wrapText="1"/>
    </xf>
    <xf numFmtId="0" fontId="10" fillId="3" borderId="0" xfId="0" applyFont="1" applyFill="1" applyBorder="1" applyAlignment="1" applyProtection="1">
      <alignment horizontal="center" vertical="center" textRotation="90"/>
    </xf>
    <xf numFmtId="0" fontId="0" fillId="0" borderId="0" xfId="0" applyAlignment="1" applyProtection="1">
      <alignment vertical="center"/>
    </xf>
    <xf numFmtId="0" fontId="8" fillId="7" borderId="6" xfId="0" applyFont="1" applyFill="1" applyBorder="1" applyAlignment="1" applyProtection="1">
      <alignment horizontal="center" vertical="center"/>
      <protection locked="0"/>
    </xf>
    <xf numFmtId="0" fontId="7" fillId="0" borderId="5" xfId="0" applyFont="1" applyBorder="1" applyAlignment="1" applyProtection="1">
      <alignment horizontal="center" vertical="center"/>
      <protection locked="0"/>
    </xf>
    <xf numFmtId="0" fontId="7" fillId="0" borderId="7" xfId="0" applyFont="1" applyBorder="1" applyAlignment="1" applyProtection="1">
      <alignment horizontal="center" vertical="center"/>
      <protection locked="0"/>
    </xf>
    <xf numFmtId="0" fontId="8" fillId="7" borderId="5" xfId="0" applyFont="1" applyFill="1" applyBorder="1" applyAlignment="1" applyProtection="1">
      <alignment horizontal="center" vertical="center"/>
      <protection locked="0"/>
    </xf>
    <xf numFmtId="0" fontId="8" fillId="7" borderId="7" xfId="0" applyFont="1" applyFill="1" applyBorder="1" applyAlignment="1" applyProtection="1">
      <alignment horizontal="center" vertical="center"/>
      <protection locked="0"/>
    </xf>
    <xf numFmtId="0" fontId="8" fillId="4" borderId="0" xfId="0" applyFont="1" applyFill="1" applyBorder="1" applyAlignment="1" applyProtection="1">
      <alignment horizontal="center" vertical="center"/>
    </xf>
    <xf numFmtId="9" fontId="3" fillId="7" borderId="6" xfId="0" applyNumberFormat="1" applyFont="1" applyFill="1" applyBorder="1" applyAlignment="1" applyProtection="1">
      <alignment horizontal="center" vertical="center" wrapText="1"/>
      <protection locked="0"/>
    </xf>
    <xf numFmtId="9" fontId="3" fillId="7" borderId="7" xfId="0" applyNumberFormat="1" applyFont="1" applyFill="1" applyBorder="1" applyAlignment="1" applyProtection="1">
      <alignment horizontal="center" vertical="center" wrapText="1"/>
      <protection locked="0"/>
    </xf>
  </cellXfs>
  <cellStyles count="4">
    <cellStyle name="Currency" xfId="1" builtinId="4"/>
    <cellStyle name="Normal" xfId="0" builtinId="0"/>
    <cellStyle name="Normal_SEG-SUMMARY template" xfId="2" xr:uid="{00000000-0005-0000-0000-000002000000}"/>
    <cellStyle name="Normal_ViU Calculator v2.3" xfId="3" xr:uid="{00000000-0005-0000-0000-000003000000}"/>
  </cellStyles>
  <dxfs count="6">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00FF00"/>
      <color rgb="FF0066FF"/>
      <color rgb="FF66FF33"/>
      <color rgb="FFFFFFCC"/>
      <color rgb="FFCCFFCC"/>
      <color rgb="FF99FF99"/>
      <color rgb="FFCCFFFF"/>
      <color rgb="FF0033CC"/>
      <color rgb="FF006600"/>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 Id="rId9"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chemeClr val="tx1">
                    <a:lumMod val="65000"/>
                    <a:lumOff val="35000"/>
                  </a:schemeClr>
                </a:solidFill>
                <a:latin typeface="+mn-lt"/>
                <a:ea typeface="+mn-ea"/>
                <a:cs typeface="+mn-cs"/>
                <a:sym typeface="Wingdings" panose="05000000000000000000" pitchFamily="2" charset="2"/>
              </a:defRPr>
            </a:pPr>
            <a:r>
              <a:rPr lang="en-US"/>
              <a:t>Summary Benefits &amp; Purchasing Costs</a:t>
            </a:r>
          </a:p>
        </c:rich>
      </c:tx>
      <c:overlay val="0"/>
      <c:spPr>
        <a:noFill/>
        <a:ln>
          <a:noFill/>
        </a:ln>
        <a:effectLst/>
      </c:spPr>
      <c:txPr>
        <a:bodyPr rot="0" spcFirstLastPara="1" vertOverflow="ellipsis" vert="horz" wrap="square" anchor="ctr" anchorCtr="1"/>
        <a:lstStyle/>
        <a:p>
          <a:pPr>
            <a:defRPr sz="1680" b="0" i="0" u="none" strike="noStrike" kern="1200" spc="0" baseline="0">
              <a:solidFill>
                <a:schemeClr val="tx1">
                  <a:lumMod val="65000"/>
                  <a:lumOff val="35000"/>
                </a:schemeClr>
              </a:solidFill>
              <a:latin typeface="+mn-lt"/>
              <a:ea typeface="+mn-ea"/>
              <a:cs typeface="+mn-cs"/>
              <a:sym typeface="Wingdings" panose="05000000000000000000" pitchFamily="2" charset="2"/>
            </a:defRPr>
          </a:pPr>
          <a:endParaRPr lang="en-US"/>
        </a:p>
      </c:txPr>
    </c:title>
    <c:autoTitleDeleted val="0"/>
    <c:plotArea>
      <c:layout>
        <c:manualLayout>
          <c:layoutTarget val="inner"/>
          <c:xMode val="edge"/>
          <c:yMode val="edge"/>
          <c:x val="7.5371648925116039E-2"/>
          <c:y val="7.8835804984888083E-2"/>
          <c:w val="0.90849931881681945"/>
          <c:h val="0.72013674718033649"/>
        </c:manualLayout>
      </c:layout>
      <c:barChart>
        <c:barDir val="col"/>
        <c:grouping val="clustered"/>
        <c:varyColors val="0"/>
        <c:ser>
          <c:idx val="0"/>
          <c:order val="0"/>
          <c:tx>
            <c:v>CONVERTER BENEFITS</c:v>
          </c:tx>
          <c:spPr>
            <a:solidFill>
              <a:srgbClr val="00FF00"/>
            </a:solidFill>
            <a:ln>
              <a:noFill/>
            </a:ln>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tx1">
                        <a:lumMod val="75000"/>
                        <a:lumOff val="25000"/>
                      </a:schemeClr>
                    </a:solidFill>
                    <a:latin typeface="+mn-lt"/>
                    <a:ea typeface="+mn-ea"/>
                    <a:cs typeface="+mn-cs"/>
                    <a:sym typeface="Wingdings" panose="05000000000000000000" pitchFamily="2" charset="2"/>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 prep'!$B$2,'ch prep'!$D$2,'ch prep'!$F$2,'ch prep'!$H$2)</c:f>
              <c:strCache>
                <c:ptCount val="4"/>
                <c:pt idx="0">
                  <c:v>REALIZATION for REFERENCE (M$ pa)</c:v>
                </c:pt>
                <c:pt idx="1">
                  <c:v>CONVERTER SELLS @ CONSTANT $/TON (M$ pa)</c:v>
                </c:pt>
                <c:pt idx="2">
                  <c:v>CONVERTER SELLS @ CONSTANT $ per 1000 sq m (M$ pa)</c:v>
                </c:pt>
                <c:pt idx="3">
                  <c:v>REALIZATION FOR ALTERNATIVE @ EXAMPLE SALES PRICE (M$ pa)</c:v>
                </c:pt>
              </c:strCache>
            </c:strRef>
          </c:cat>
          <c:val>
            <c:numRef>
              <c:f>('ch prep'!$B$3,'ch prep'!$D$3,'ch prep'!$F$3,'ch prep'!$H$3)</c:f>
              <c:numCache>
                <c:formatCode>0.000</c:formatCode>
                <c:ptCount val="4"/>
                <c:pt idx="0">
                  <c:v>8.5136986299999912E-2</c:v>
                </c:pt>
                <c:pt idx="1">
                  <c:v>4.7260273999999991E-2</c:v>
                </c:pt>
                <c:pt idx="2">
                  <c:v>0.55326027399999977</c:v>
                </c:pt>
                <c:pt idx="3">
                  <c:v>0.29726027399999999</c:v>
                </c:pt>
              </c:numCache>
            </c:numRef>
          </c:val>
          <c:extLst>
            <c:ext xmlns:c16="http://schemas.microsoft.com/office/drawing/2014/chart" uri="{C3380CC4-5D6E-409C-BE32-E72D297353CC}">
              <c16:uniqueId val="{00000000-3F5A-4539-BA90-6B2FC220BDF3}"/>
            </c:ext>
          </c:extLst>
        </c:ser>
        <c:ser>
          <c:idx val="1"/>
          <c:order val="1"/>
          <c:tx>
            <c:v>DOWNSTREAM PLAYER PURCHASING COSTS</c:v>
          </c:tx>
          <c:spPr>
            <a:solidFill>
              <a:srgbClr val="FF0000"/>
            </a:solidFill>
            <a:ln>
              <a:noFill/>
            </a:ln>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tx1">
                        <a:lumMod val="75000"/>
                        <a:lumOff val="25000"/>
                      </a:schemeClr>
                    </a:solidFill>
                    <a:latin typeface="+mn-lt"/>
                    <a:ea typeface="+mn-ea"/>
                    <a:cs typeface="+mn-cs"/>
                    <a:sym typeface="Wingdings" panose="05000000000000000000" pitchFamily="2" charset="2"/>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 prep'!$B$2,'ch prep'!$D$2,'ch prep'!$F$2,'ch prep'!$H$2)</c:f>
              <c:strCache>
                <c:ptCount val="4"/>
                <c:pt idx="0">
                  <c:v>REALIZATION for REFERENCE (M$ pa)</c:v>
                </c:pt>
                <c:pt idx="1">
                  <c:v>CONVERTER SELLS @ CONSTANT $/TON (M$ pa)</c:v>
                </c:pt>
                <c:pt idx="2">
                  <c:v>CONVERTER SELLS @ CONSTANT $ per 1000 sq m (M$ pa)</c:v>
                </c:pt>
                <c:pt idx="3">
                  <c:v>REALIZATION FOR ALTERNATIVE @ EXAMPLE SALES PRICE (M$ pa)</c:v>
                </c:pt>
              </c:strCache>
            </c:strRef>
          </c:cat>
          <c:val>
            <c:numRef>
              <c:f>('ch prep'!$B$4,'ch prep'!$D$4,'ch prep'!$F$4,'ch prep'!$H$4)</c:f>
              <c:numCache>
                <c:formatCode>0.000</c:formatCode>
                <c:ptCount val="4"/>
                <c:pt idx="0">
                  <c:v>1.623</c:v>
                </c:pt>
                <c:pt idx="1">
                  <c:v>1.2142191781</c:v>
                </c:pt>
                <c:pt idx="2">
                  <c:v>1.623</c:v>
                </c:pt>
                <c:pt idx="3">
                  <c:v>1.4165890410999999</c:v>
                </c:pt>
              </c:numCache>
            </c:numRef>
          </c:val>
          <c:extLst>
            <c:ext xmlns:c16="http://schemas.microsoft.com/office/drawing/2014/chart" uri="{C3380CC4-5D6E-409C-BE32-E72D297353CC}">
              <c16:uniqueId val="{00000001-3F5A-4539-BA90-6B2FC220BDF3}"/>
            </c:ext>
          </c:extLst>
        </c:ser>
        <c:dLbls>
          <c:showLegendKey val="0"/>
          <c:showVal val="0"/>
          <c:showCatName val="0"/>
          <c:showSerName val="0"/>
          <c:showPercent val="0"/>
          <c:showBubbleSize val="0"/>
        </c:dLbls>
        <c:gapWidth val="219"/>
        <c:overlap val="-27"/>
        <c:axId val="491127568"/>
        <c:axId val="491127960"/>
      </c:barChart>
      <c:catAx>
        <c:axId val="49112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sym typeface="Wingdings" panose="05000000000000000000" pitchFamily="2" charset="2"/>
              </a:defRPr>
            </a:pPr>
            <a:endParaRPr lang="en-US"/>
          </a:p>
        </c:txPr>
        <c:crossAx val="491127960"/>
        <c:crosses val="autoZero"/>
        <c:auto val="1"/>
        <c:lblAlgn val="ctr"/>
        <c:lblOffset val="100"/>
        <c:noMultiLvlLbl val="0"/>
      </c:catAx>
      <c:valAx>
        <c:axId val="491127960"/>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sym typeface="Wingdings" panose="05000000000000000000" pitchFamily="2" charset="2"/>
              </a:defRPr>
            </a:pPr>
            <a:endParaRPr lang="en-US"/>
          </a:p>
        </c:txPr>
        <c:crossAx val="491127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sym typeface="Wingdings" panose="05000000000000000000" pitchFamily="2" charset="2"/>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400">
          <a:sym typeface="Wingdings" panose="05000000000000000000" pitchFamily="2" charset="2"/>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31750</xdr:colOff>
      <xdr:row>39</xdr:row>
      <xdr:rowOff>31750</xdr:rowOff>
    </xdr:from>
    <xdr:to>
      <xdr:col>31</xdr:col>
      <xdr:colOff>332240</xdr:colOff>
      <xdr:row>69</xdr:row>
      <xdr:rowOff>120650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00FF00"/>
    <pageSetUpPr fitToPage="1"/>
  </sheetPr>
  <dimension ref="A1:BJ111"/>
  <sheetViews>
    <sheetView showGridLines="0" tabSelected="1" topLeftCell="A55" zoomScaleNormal="100" workbookViewId="0">
      <selection activeCell="P85" sqref="P85"/>
    </sheetView>
  </sheetViews>
  <sheetFormatPr defaultColWidth="8.7109375" defaultRowHeight="12.75" outlineLevelCol="1" x14ac:dyDescent="0.2"/>
  <cols>
    <col min="1" max="1" width="3.140625" style="147" customWidth="1"/>
    <col min="2" max="2" width="11.5703125" style="147" customWidth="1"/>
    <col min="3" max="3" width="5" style="147" bestFit="1" customWidth="1"/>
    <col min="4" max="4" width="4.42578125" style="147" customWidth="1"/>
    <col min="5" max="5" width="11.5703125" style="147" bestFit="1" customWidth="1"/>
    <col min="6" max="6" width="8.42578125" style="147" customWidth="1"/>
    <col min="7" max="7" width="11.85546875" style="147" bestFit="1" customWidth="1"/>
    <col min="8" max="8" width="2.140625" style="147" customWidth="1"/>
    <col min="9" max="9" width="15.5703125" style="147" customWidth="1"/>
    <col min="10" max="10" width="3.5703125" style="147" bestFit="1" customWidth="1"/>
    <col min="11" max="12" width="6.5703125" style="147" customWidth="1"/>
    <col min="13" max="13" width="7.140625" style="147" customWidth="1"/>
    <col min="14" max="14" width="6" style="147" bestFit="1" customWidth="1"/>
    <col min="15" max="15" width="6.5703125" style="147" customWidth="1"/>
    <col min="16" max="17" width="4.85546875" style="147" customWidth="1"/>
    <col min="18" max="20" width="4.85546875" style="147" customWidth="1" outlineLevel="1"/>
    <col min="21" max="21" width="4.85546875" style="147" customWidth="1"/>
    <col min="22" max="22" width="5.42578125" style="147" hidden="1" customWidth="1"/>
    <col min="23" max="23" width="2.140625" style="147" customWidth="1"/>
    <col min="24" max="24" width="15.5703125" style="147" customWidth="1"/>
    <col min="25" max="25" width="6.42578125" style="147" customWidth="1"/>
    <col min="26" max="27" width="6.5703125" style="147" customWidth="1"/>
    <col min="28" max="32" width="4.85546875" style="147" customWidth="1"/>
    <col min="33" max="35" width="4.85546875" style="147" customWidth="1" outlineLevel="1"/>
    <col min="36" max="36" width="4.85546875" style="147" customWidth="1"/>
    <col min="37" max="61" width="9.140625" style="147" hidden="1" customWidth="1"/>
    <col min="62" max="62" width="3.140625" style="147" customWidth="1"/>
    <col min="63" max="16384" width="8.7109375" style="147"/>
  </cols>
  <sheetData>
    <row r="1" spans="1:62" ht="39.6" customHeight="1" x14ac:dyDescent="0.2">
      <c r="A1" s="203" t="s">
        <v>88</v>
      </c>
      <c r="B1" s="204"/>
      <c r="C1" s="204"/>
      <c r="D1" s="204"/>
      <c r="E1" s="204"/>
      <c r="F1" s="204"/>
      <c r="G1" s="204"/>
      <c r="H1" s="204"/>
      <c r="I1" s="204"/>
      <c r="J1" s="204"/>
      <c r="K1" s="204"/>
      <c r="L1" s="204"/>
      <c r="M1" s="204"/>
      <c r="N1" s="204"/>
      <c r="O1" s="204"/>
      <c r="P1" s="204"/>
      <c r="Q1" s="204"/>
      <c r="R1" s="204"/>
      <c r="S1" s="204"/>
      <c r="T1" s="204"/>
      <c r="U1" s="204"/>
      <c r="V1" s="204"/>
      <c r="W1" s="204"/>
      <c r="X1" s="204"/>
      <c r="Y1" s="204"/>
      <c r="Z1" s="204"/>
      <c r="AA1" s="204"/>
      <c r="AB1" s="204"/>
      <c r="AC1" s="204"/>
      <c r="AD1" s="204"/>
      <c r="AE1" s="204"/>
      <c r="AF1" s="204"/>
      <c r="AG1" s="204"/>
      <c r="AH1" s="204"/>
      <c r="AI1" s="204"/>
      <c r="AJ1" s="204"/>
      <c r="AK1" s="204"/>
      <c r="AL1" s="204"/>
      <c r="AM1" s="204"/>
      <c r="AN1" s="204"/>
      <c r="AO1" s="204"/>
      <c r="AP1" s="204"/>
      <c r="AQ1" s="204"/>
      <c r="AR1" s="204"/>
      <c r="AS1" s="204"/>
      <c r="AT1" s="204"/>
      <c r="AU1" s="204"/>
      <c r="AV1" s="204"/>
      <c r="AW1" s="204"/>
      <c r="AX1" s="204"/>
      <c r="AY1" s="204"/>
      <c r="AZ1" s="204"/>
      <c r="BA1" s="204"/>
      <c r="BB1" s="204"/>
      <c r="BC1" s="204"/>
      <c r="BD1" s="204"/>
      <c r="BE1" s="204"/>
      <c r="BF1" s="204"/>
      <c r="BG1" s="204"/>
      <c r="BH1" s="204"/>
      <c r="BI1" s="204"/>
      <c r="BJ1" s="204"/>
    </row>
    <row r="2" spans="1:62" ht="3" customHeight="1" x14ac:dyDescent="0.2">
      <c r="A2" s="120"/>
      <c r="B2" s="28"/>
      <c r="C2" s="28"/>
      <c r="D2" s="28"/>
      <c r="E2" s="28"/>
      <c r="F2" s="28"/>
      <c r="G2" s="28"/>
      <c r="H2" s="28"/>
      <c r="I2" s="28"/>
      <c r="J2" s="28"/>
      <c r="K2" s="28"/>
      <c r="L2" s="28"/>
      <c r="M2" s="28"/>
      <c r="N2" s="28"/>
      <c r="O2" s="28"/>
      <c r="P2" s="28"/>
      <c r="Q2" s="28"/>
      <c r="R2" s="28"/>
      <c r="S2" s="28"/>
      <c r="T2" s="28"/>
      <c r="U2" s="28"/>
      <c r="V2" s="13"/>
      <c r="W2" s="28"/>
      <c r="X2" s="28"/>
      <c r="Y2" s="28"/>
      <c r="Z2" s="28"/>
      <c r="AA2" s="28"/>
      <c r="AB2" s="28"/>
      <c r="AC2" s="28"/>
      <c r="AD2" s="28"/>
      <c r="AE2" s="28"/>
      <c r="AF2" s="28"/>
      <c r="AG2" s="28"/>
      <c r="AH2" s="28"/>
      <c r="AI2" s="28"/>
      <c r="AJ2" s="28"/>
      <c r="AK2" s="13"/>
      <c r="AL2" s="13"/>
      <c r="AM2" s="13"/>
      <c r="AN2" s="13"/>
      <c r="AO2" s="13"/>
      <c r="AP2" s="13"/>
      <c r="AQ2" s="13"/>
      <c r="AR2" s="13"/>
      <c r="AS2" s="13"/>
      <c r="AT2" s="13"/>
      <c r="AU2" s="13"/>
      <c r="AV2" s="13"/>
      <c r="AW2" s="13"/>
      <c r="AX2" s="13"/>
      <c r="AY2" s="13"/>
      <c r="AZ2" s="13"/>
      <c r="BA2" s="13"/>
      <c r="BB2" s="13"/>
      <c r="BC2" s="13"/>
      <c r="BD2" s="13"/>
      <c r="BE2" s="13"/>
      <c r="BF2" s="13"/>
      <c r="BG2" s="13"/>
      <c r="BH2" s="13"/>
      <c r="BI2" s="13"/>
      <c r="BJ2" s="28"/>
    </row>
    <row r="3" spans="1:62" ht="12.95" customHeight="1" x14ac:dyDescent="0.2">
      <c r="A3" s="205" t="s">
        <v>58</v>
      </c>
      <c r="B3" s="207" t="s">
        <v>89</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208"/>
      <c r="AG3" s="208"/>
      <c r="AH3" s="208"/>
      <c r="AI3" s="208"/>
      <c r="AJ3" s="209"/>
      <c r="AK3" s="34"/>
      <c r="AL3" s="34"/>
      <c r="AM3" s="34"/>
      <c r="AN3" s="34"/>
      <c r="AO3" s="34"/>
      <c r="AP3" s="34"/>
      <c r="AQ3" s="34"/>
      <c r="AR3" s="34"/>
      <c r="AS3" s="34"/>
      <c r="AT3" s="34"/>
      <c r="AU3" s="34"/>
      <c r="AV3" s="34"/>
      <c r="AW3" s="34"/>
      <c r="AX3" s="34"/>
      <c r="AY3" s="34"/>
      <c r="AZ3" s="13"/>
      <c r="BA3" s="13"/>
      <c r="BB3" s="13"/>
      <c r="BC3" s="13"/>
      <c r="BD3" s="13"/>
      <c r="BE3" s="13"/>
      <c r="BF3" s="13"/>
      <c r="BG3" s="13"/>
      <c r="BH3" s="13"/>
      <c r="BI3" s="13"/>
      <c r="BJ3" s="205" t="s">
        <v>58</v>
      </c>
    </row>
    <row r="4" spans="1:62" ht="3" customHeight="1" x14ac:dyDescent="0.2">
      <c r="A4" s="206"/>
      <c r="B4" s="28"/>
      <c r="C4" s="28"/>
      <c r="D4" s="28"/>
      <c r="E4" s="28"/>
      <c r="F4" s="28"/>
      <c r="G4" s="28"/>
      <c r="H4" s="28"/>
      <c r="I4" s="28"/>
      <c r="J4" s="28"/>
      <c r="K4" s="28"/>
      <c r="L4" s="28"/>
      <c r="M4" s="28"/>
      <c r="N4" s="28"/>
      <c r="O4" s="28"/>
      <c r="P4" s="28"/>
      <c r="Q4" s="28"/>
      <c r="R4" s="28"/>
      <c r="S4" s="28"/>
      <c r="T4" s="28"/>
      <c r="U4" s="28"/>
      <c r="V4" s="13"/>
      <c r="W4" s="28"/>
      <c r="X4" s="28"/>
      <c r="Y4" s="28"/>
      <c r="Z4" s="28"/>
      <c r="AA4" s="28"/>
      <c r="AB4" s="28"/>
      <c r="AC4" s="28"/>
      <c r="AD4" s="28"/>
      <c r="AE4" s="28"/>
      <c r="AF4" s="28"/>
      <c r="AG4" s="28"/>
      <c r="AH4" s="28"/>
      <c r="AI4" s="28"/>
      <c r="AJ4" s="28"/>
      <c r="AK4" s="13"/>
      <c r="AL4" s="13"/>
      <c r="AM4" s="13"/>
      <c r="AN4" s="13"/>
      <c r="AO4" s="13"/>
      <c r="AP4" s="13"/>
      <c r="AQ4" s="13"/>
      <c r="AR4" s="13"/>
      <c r="AS4" s="13"/>
      <c r="AT4" s="13"/>
      <c r="AU4" s="13"/>
      <c r="AV4" s="13"/>
      <c r="AW4" s="13"/>
      <c r="AX4" s="13"/>
      <c r="AY4" s="13"/>
      <c r="AZ4" s="13"/>
      <c r="BA4" s="13"/>
      <c r="BB4" s="13"/>
      <c r="BC4" s="13"/>
      <c r="BD4" s="13"/>
      <c r="BE4" s="13"/>
      <c r="BF4" s="13"/>
      <c r="BG4" s="13"/>
      <c r="BH4" s="13"/>
      <c r="BI4" s="13"/>
      <c r="BJ4" s="206"/>
    </row>
    <row r="5" spans="1:62" x14ac:dyDescent="0.2">
      <c r="A5" s="206"/>
      <c r="B5" s="148" t="s">
        <v>0</v>
      </c>
      <c r="C5" s="148"/>
      <c r="D5" s="28"/>
      <c r="E5" s="28"/>
      <c r="F5" s="28"/>
      <c r="G5" s="28"/>
      <c r="H5" s="28"/>
      <c r="I5" s="207" t="s">
        <v>55</v>
      </c>
      <c r="J5" s="210"/>
      <c r="K5" s="210"/>
      <c r="L5" s="210"/>
      <c r="M5" s="210"/>
      <c r="N5" s="210"/>
      <c r="O5" s="210"/>
      <c r="P5" s="210"/>
      <c r="Q5" s="210"/>
      <c r="R5" s="210"/>
      <c r="S5" s="210"/>
      <c r="T5" s="210"/>
      <c r="U5" s="211"/>
      <c r="V5" s="40"/>
      <c r="W5" s="29"/>
      <c r="X5" s="207" t="s">
        <v>87</v>
      </c>
      <c r="Y5" s="210"/>
      <c r="Z5" s="210"/>
      <c r="AA5" s="210"/>
      <c r="AB5" s="210"/>
      <c r="AC5" s="210"/>
      <c r="AD5" s="210"/>
      <c r="AE5" s="210"/>
      <c r="AF5" s="210"/>
      <c r="AG5" s="210"/>
      <c r="AH5" s="210"/>
      <c r="AI5" s="210"/>
      <c r="AJ5" s="211"/>
      <c r="AK5" s="40"/>
      <c r="AL5" s="40"/>
      <c r="AM5" s="212" t="s">
        <v>60</v>
      </c>
      <c r="AN5" s="212"/>
      <c r="AO5" s="212"/>
      <c r="AP5" s="212"/>
      <c r="AQ5" s="212"/>
      <c r="AR5" s="212"/>
      <c r="AS5" s="212"/>
      <c r="AT5" s="212"/>
      <c r="AU5" s="212"/>
      <c r="AV5" s="212"/>
      <c r="AW5" s="212"/>
      <c r="AX5" s="212"/>
      <c r="AY5" s="212"/>
      <c r="AZ5" s="13"/>
      <c r="BA5" s="11">
        <f>COUNT(B9:B10)</f>
        <v>1</v>
      </c>
      <c r="BB5" s="11">
        <f>COUNT(B23:F24)</f>
        <v>1</v>
      </c>
      <c r="BC5" s="11">
        <f>COUNT(B23:F23,B25:F25)</f>
        <v>1</v>
      </c>
      <c r="BD5" s="11">
        <f>COUNT(B23:B26)</f>
        <v>1</v>
      </c>
      <c r="BE5" s="11">
        <f>COUNT(D23:D26)</f>
        <v>0</v>
      </c>
      <c r="BF5" s="11">
        <f>COUNT(F23:F26)</f>
        <v>0</v>
      </c>
      <c r="BG5" s="13"/>
      <c r="BH5" s="13"/>
      <c r="BI5" s="13"/>
      <c r="BJ5" s="206"/>
    </row>
    <row r="6" spans="1:62" ht="12.6" customHeight="1" x14ac:dyDescent="0.2">
      <c r="A6" s="206"/>
      <c r="B6" s="213" t="s">
        <v>81</v>
      </c>
      <c r="C6" s="214"/>
      <c r="D6" s="4"/>
      <c r="E6" s="28"/>
      <c r="F6" s="28"/>
      <c r="G6" s="28"/>
      <c r="H6" s="4"/>
      <c r="I6" s="131" t="str">
        <f>IF(U6&lt;&gt;0,CONCATENATE(BC6," (",BD6,")"),CONCATENATE(,"PROVIDE ",BC6," (",BD6,") =&gt;"))</f>
        <v>THICKNESS (micron)</v>
      </c>
      <c r="J6" s="131"/>
      <c r="K6" s="131"/>
      <c r="L6" s="131"/>
      <c r="M6" s="131"/>
      <c r="N6" s="131"/>
      <c r="O6" s="131"/>
      <c r="P6" s="131"/>
      <c r="Q6" s="131"/>
      <c r="R6" s="131"/>
      <c r="S6" s="131"/>
      <c r="T6" s="131"/>
      <c r="U6" s="5">
        <v>100</v>
      </c>
      <c r="V6" s="6"/>
      <c r="W6" s="7"/>
      <c r="X6" s="131" t="str">
        <f>IF(AJ6&lt;&gt;0,CONCATENATE(BC6," (",BD6,")"),CONCATENATE(,"PROVIDE ",BC6," (",BD6,") =&gt;"))</f>
        <v>THICKNESS (micron)</v>
      </c>
      <c r="Y6" s="131"/>
      <c r="Z6" s="131"/>
      <c r="AA6" s="131"/>
      <c r="AB6" s="131"/>
      <c r="AC6" s="131"/>
      <c r="AD6" s="131"/>
      <c r="AE6" s="131"/>
      <c r="AF6" s="131"/>
      <c r="AG6" s="131"/>
      <c r="AH6" s="131"/>
      <c r="AI6" s="131"/>
      <c r="AJ6" s="5">
        <v>75</v>
      </c>
      <c r="AK6" s="6"/>
      <c r="AL6" s="6"/>
      <c r="AM6" s="26" t="str">
        <f>CONCATENATE(BC6," (",BD6,")")</f>
        <v>THICKNESS (micron)</v>
      </c>
      <c r="AN6" s="26"/>
      <c r="AO6" s="26"/>
      <c r="AP6" s="26"/>
      <c r="AQ6" s="26"/>
      <c r="AR6" s="26"/>
      <c r="AS6" s="26"/>
      <c r="AT6" s="26"/>
      <c r="AU6" s="26"/>
      <c r="AV6" s="26"/>
      <c r="AW6" s="26"/>
      <c r="AX6" s="26"/>
      <c r="AY6" s="26">
        <f>U6</f>
        <v>100</v>
      </c>
      <c r="AZ6" s="13"/>
      <c r="BA6" s="11">
        <f>3*(BA5*4+BB5*2+BC5)+(3*BD5+2*BE5+BF5)</f>
        <v>24</v>
      </c>
      <c r="BB6" s="11" t="str">
        <f>LOOKUP(1,B9:C11,C9:C11)</f>
        <v>TON</v>
      </c>
      <c r="BC6" s="11" t="str">
        <f>IF(BD5=1,"THICKNESS",IF(BE5=1,"SECTION","VOLUME"))</f>
        <v>THICKNESS</v>
      </c>
      <c r="BD6" s="11" t="str">
        <f>IF(BD5=1,LOOKUP(1,B23:B26,C23:C26),IF(BE5=1,LOOKUP(1,D23:D26,E23:E26),LOOKUP(1,F23:F26,G23:G26)))</f>
        <v>micron</v>
      </c>
      <c r="BE6" s="13"/>
      <c r="BF6" s="13"/>
      <c r="BG6" s="13"/>
      <c r="BH6" s="13"/>
      <c r="BI6" s="13"/>
      <c r="BJ6" s="206"/>
    </row>
    <row r="7" spans="1:62" ht="3" customHeight="1" x14ac:dyDescent="0.2">
      <c r="A7" s="206"/>
      <c r="B7" s="28"/>
      <c r="C7" s="28"/>
      <c r="D7" s="28"/>
      <c r="E7" s="28"/>
      <c r="F7" s="28"/>
      <c r="G7" s="28"/>
      <c r="H7" s="28"/>
      <c r="I7" s="1"/>
      <c r="J7" s="1"/>
      <c r="K7" s="1"/>
      <c r="L7" s="1"/>
      <c r="M7" s="1"/>
      <c r="N7" s="1"/>
      <c r="O7" s="1"/>
      <c r="P7" s="1"/>
      <c r="Q7" s="1"/>
      <c r="R7" s="1"/>
      <c r="S7" s="1"/>
      <c r="T7" s="1"/>
      <c r="U7" s="35"/>
      <c r="V7" s="36"/>
      <c r="W7" s="35"/>
      <c r="X7" s="35"/>
      <c r="Y7" s="35"/>
      <c r="Z7" s="35"/>
      <c r="AA7" s="35"/>
      <c r="AB7" s="35"/>
      <c r="AC7" s="35"/>
      <c r="AD7" s="35"/>
      <c r="AE7" s="35"/>
      <c r="AF7" s="35"/>
      <c r="AG7" s="35"/>
      <c r="AH7" s="35"/>
      <c r="AI7" s="35"/>
      <c r="AJ7" s="35"/>
      <c r="AK7" s="36"/>
      <c r="AL7" s="36"/>
      <c r="AM7" s="36"/>
      <c r="AN7" s="36"/>
      <c r="AO7" s="36"/>
      <c r="AP7" s="36"/>
      <c r="AQ7" s="36"/>
      <c r="AR7" s="36"/>
      <c r="AS7" s="36"/>
      <c r="AT7" s="36"/>
      <c r="AU7" s="36"/>
      <c r="AV7" s="36"/>
      <c r="AW7" s="36"/>
      <c r="AX7" s="36"/>
      <c r="AY7" s="36"/>
      <c r="AZ7" s="13"/>
      <c r="BA7" s="13"/>
      <c r="BB7" s="13"/>
      <c r="BC7" s="13"/>
      <c r="BD7" s="13"/>
      <c r="BE7" s="13"/>
      <c r="BF7" s="13"/>
      <c r="BG7" s="13"/>
      <c r="BH7" s="13"/>
      <c r="BI7" s="13"/>
      <c r="BJ7" s="206"/>
    </row>
    <row r="8" spans="1:62" ht="12.6" customHeight="1" x14ac:dyDescent="0.2">
      <c r="A8" s="206"/>
      <c r="B8" s="145" t="str">
        <f>IF(COUNT(B9:B11)&gt;1,"&gt;1 UNIT SELECTED",IF(COUNT(B9:B11)=0,"NO UNIT SELECTED","WEIGHT UNIT"))</f>
        <v>WEIGHT UNIT</v>
      </c>
      <c r="C8" s="145"/>
      <c r="D8" s="37"/>
      <c r="E8" s="146" t="s">
        <v>17</v>
      </c>
      <c r="F8" s="146" t="str">
        <f>CONCATENATE(B6,"/",BB6)</f>
        <v>$/TON</v>
      </c>
      <c r="G8" s="146" t="s">
        <v>18</v>
      </c>
      <c r="H8" s="28"/>
      <c r="I8" s="38" t="s">
        <v>1</v>
      </c>
      <c r="J8" s="39">
        <v>1</v>
      </c>
      <c r="K8" s="39">
        <v>2</v>
      </c>
      <c r="L8" s="39">
        <v>1</v>
      </c>
      <c r="M8" s="39"/>
      <c r="N8" s="39"/>
      <c r="O8" s="39"/>
      <c r="P8" s="39"/>
      <c r="Q8" s="39"/>
      <c r="R8" s="39"/>
      <c r="S8" s="39"/>
      <c r="T8" s="39"/>
      <c r="U8" s="146"/>
      <c r="V8" s="40"/>
      <c r="W8" s="35"/>
      <c r="X8" s="38" t="s">
        <v>1</v>
      </c>
      <c r="Y8" s="39">
        <v>1</v>
      </c>
      <c r="Z8" s="39">
        <v>2</v>
      </c>
      <c r="AA8" s="39">
        <v>1</v>
      </c>
      <c r="AB8" s="39"/>
      <c r="AC8" s="39"/>
      <c r="AD8" s="39"/>
      <c r="AE8" s="39"/>
      <c r="AF8" s="39"/>
      <c r="AG8" s="39"/>
      <c r="AH8" s="39"/>
      <c r="AI8" s="39"/>
      <c r="AJ8" s="146"/>
      <c r="AK8" s="40"/>
      <c r="AL8" s="40"/>
      <c r="AM8" s="38" t="s">
        <v>1</v>
      </c>
      <c r="AN8" s="41">
        <f>Y8</f>
        <v>1</v>
      </c>
      <c r="AO8" s="41">
        <f>Z8</f>
        <v>2</v>
      </c>
      <c r="AP8" s="41">
        <f>AA8</f>
        <v>1</v>
      </c>
      <c r="AQ8" s="41">
        <f>AB8</f>
        <v>0</v>
      </c>
      <c r="AR8" s="41">
        <f t="shared" ref="AR8:AX19" si="0">AC8</f>
        <v>0</v>
      </c>
      <c r="AS8" s="41">
        <f t="shared" si="0"/>
        <v>0</v>
      </c>
      <c r="AT8" s="41">
        <f t="shared" si="0"/>
        <v>0</v>
      </c>
      <c r="AU8" s="41">
        <f t="shared" si="0"/>
        <v>0</v>
      </c>
      <c r="AV8" s="41">
        <f t="shared" si="0"/>
        <v>0</v>
      </c>
      <c r="AW8" s="41">
        <f t="shared" si="0"/>
        <v>0</v>
      </c>
      <c r="AX8" s="41">
        <f t="shared" si="0"/>
        <v>0</v>
      </c>
      <c r="AY8" s="146"/>
      <c r="AZ8" s="13"/>
      <c r="BA8" s="11" t="s">
        <v>63</v>
      </c>
      <c r="BB8" s="11" t="s">
        <v>62</v>
      </c>
      <c r="BC8" s="11" t="s">
        <v>64</v>
      </c>
      <c r="BD8" s="42" t="s">
        <v>65</v>
      </c>
      <c r="BE8" s="13"/>
      <c r="BF8" s="13"/>
      <c r="BG8" s="13"/>
      <c r="BH8" s="42" t="s">
        <v>2</v>
      </c>
      <c r="BI8" s="42" t="s">
        <v>3</v>
      </c>
      <c r="BJ8" s="206"/>
    </row>
    <row r="9" spans="1:62" x14ac:dyDescent="0.2">
      <c r="A9" s="206"/>
      <c r="B9" s="43"/>
      <c r="C9" s="11" t="s">
        <v>4</v>
      </c>
      <c r="D9" s="8"/>
      <c r="E9" s="44" t="s">
        <v>83</v>
      </c>
      <c r="F9" s="45">
        <v>1250</v>
      </c>
      <c r="G9" s="46">
        <v>0.92600000000000005</v>
      </c>
      <c r="H9" s="28"/>
      <c r="I9" s="11" t="str">
        <f>IF($E9="","",$E9)</f>
        <v>C6LL</v>
      </c>
      <c r="J9" s="47">
        <v>1</v>
      </c>
      <c r="K9" s="47">
        <v>0.65</v>
      </c>
      <c r="L9" s="47">
        <v>1</v>
      </c>
      <c r="M9" s="47"/>
      <c r="N9" s="47"/>
      <c r="O9" s="47"/>
      <c r="P9" s="47"/>
      <c r="Q9" s="47"/>
      <c r="R9" s="47"/>
      <c r="S9" s="47"/>
      <c r="T9" s="47"/>
      <c r="U9" s="48">
        <f>SUMPRODUCT(J9:T9,J20:T20)</f>
        <v>0.82499999999999996</v>
      </c>
      <c r="V9" s="49">
        <f>IF($C$13&lt;&gt;1,U9*$G9,IF(U9&lt;&gt;0,U9/$G9,""))</f>
        <v>0.8909287257019437</v>
      </c>
      <c r="W9" s="50"/>
      <c r="X9" s="11" t="str">
        <f>IF($E9="","",$E9)</f>
        <v>C6LL</v>
      </c>
      <c r="Y9" s="47"/>
      <c r="Z9" s="47"/>
      <c r="AA9" s="47"/>
      <c r="AB9" s="47"/>
      <c r="AC9" s="47"/>
      <c r="AD9" s="47"/>
      <c r="AE9" s="47"/>
      <c r="AF9" s="47"/>
      <c r="AG9" s="47"/>
      <c r="AH9" s="47"/>
      <c r="AI9" s="47"/>
      <c r="AJ9" s="48">
        <f>SUMPRODUCT(Y9:AI9,Y20:AI20)</f>
        <v>0</v>
      </c>
      <c r="AK9" s="49" t="str">
        <f t="shared" ref="AK9:AK19" si="1">IF($C$13&lt;&gt;1,AJ9*$G9,IF(AJ9&lt;&gt;0,AJ9/$G9,""))</f>
        <v/>
      </c>
      <c r="AL9" s="51"/>
      <c r="AM9" s="11" t="str">
        <f t="shared" ref="AM9:AM18" si="2">$E9</f>
        <v>C6LL</v>
      </c>
      <c r="AN9" s="52">
        <f t="shared" ref="AN9:AQ19" si="3">Y9</f>
        <v>0</v>
      </c>
      <c r="AO9" s="52">
        <f t="shared" si="3"/>
        <v>0</v>
      </c>
      <c r="AP9" s="52">
        <f t="shared" si="3"/>
        <v>0</v>
      </c>
      <c r="AQ9" s="52">
        <f t="shared" si="3"/>
        <v>0</v>
      </c>
      <c r="AR9" s="52">
        <f t="shared" si="0"/>
        <v>0</v>
      </c>
      <c r="AS9" s="52">
        <f t="shared" si="0"/>
        <v>0</v>
      </c>
      <c r="AT9" s="52">
        <f t="shared" si="0"/>
        <v>0</v>
      </c>
      <c r="AU9" s="52">
        <f t="shared" si="0"/>
        <v>0</v>
      </c>
      <c r="AV9" s="52">
        <f t="shared" si="0"/>
        <v>0</v>
      </c>
      <c r="AW9" s="52">
        <f t="shared" si="0"/>
        <v>0</v>
      </c>
      <c r="AX9" s="52">
        <f t="shared" si="0"/>
        <v>0</v>
      </c>
      <c r="AY9" s="48">
        <f>SUMPRODUCT(AN9:AX9,AN20:AX20)</f>
        <v>0</v>
      </c>
      <c r="AZ9" s="49" t="str">
        <f t="shared" ref="AZ9:AZ18" si="4">IF($C$13&lt;&gt;1,AY9*$G9,IF(AY9&lt;&gt;0,AY9/$G9,""))</f>
        <v/>
      </c>
      <c r="BA9" s="11" t="s">
        <v>5</v>
      </c>
      <c r="BB9" s="11" t="s">
        <v>6</v>
      </c>
      <c r="BC9" s="11">
        <v>1</v>
      </c>
      <c r="BD9" s="42" t="s">
        <v>7</v>
      </c>
      <c r="BE9" s="42"/>
      <c r="BF9" s="42"/>
      <c r="BG9" s="42" t="s">
        <v>7</v>
      </c>
      <c r="BH9" s="11">
        <f t="shared" ref="BH9:BH32" si="5">IF(B$10=1,0.001,1)</f>
        <v>1E-3</v>
      </c>
      <c r="BI9" s="42">
        <f t="shared" ref="BI9:BI32" si="6">BH9*BE9</f>
        <v>0</v>
      </c>
      <c r="BJ9" s="206"/>
    </row>
    <row r="10" spans="1:62" x14ac:dyDescent="0.2">
      <c r="A10" s="206"/>
      <c r="B10" s="53">
        <v>1</v>
      </c>
      <c r="C10" s="11" t="s">
        <v>8</v>
      </c>
      <c r="D10" s="8"/>
      <c r="E10" s="54" t="s">
        <v>84</v>
      </c>
      <c r="F10" s="55">
        <v>1050</v>
      </c>
      <c r="G10" s="56">
        <v>0.95199999999999996</v>
      </c>
      <c r="H10" s="28"/>
      <c r="I10" s="11" t="str">
        <f t="shared" ref="I10:I19" si="7">IF($E10="","",$E10)</f>
        <v>HDPE</v>
      </c>
      <c r="J10" s="57"/>
      <c r="K10" s="57">
        <v>0.35</v>
      </c>
      <c r="L10" s="57"/>
      <c r="M10" s="57"/>
      <c r="N10" s="57"/>
      <c r="O10" s="57"/>
      <c r="P10" s="57"/>
      <c r="Q10" s="57"/>
      <c r="R10" s="57"/>
      <c r="S10" s="57"/>
      <c r="T10" s="57"/>
      <c r="U10" s="48">
        <f>SUMPRODUCT(J10:T10,J20:T20)</f>
        <v>0.17499999999999999</v>
      </c>
      <c r="V10" s="49">
        <f t="shared" ref="V10:V17" si="8">IF($C$13&lt;&gt;1,U10*$G10,IF(U10&lt;&gt;0,U10/$G10,""))</f>
        <v>0.18382352941176469</v>
      </c>
      <c r="W10" s="50"/>
      <c r="X10" s="11" t="str">
        <f t="shared" ref="X10:X19" si="9">IF($E10="","",$E10)</f>
        <v>HDPE</v>
      </c>
      <c r="Y10" s="57"/>
      <c r="Z10" s="57">
        <v>0.55000000000000004</v>
      </c>
      <c r="AA10" s="57"/>
      <c r="AB10" s="57"/>
      <c r="AC10" s="57"/>
      <c r="AD10" s="57"/>
      <c r="AE10" s="57"/>
      <c r="AF10" s="57"/>
      <c r="AG10" s="57"/>
      <c r="AH10" s="57"/>
      <c r="AI10" s="57"/>
      <c r="AJ10" s="48">
        <f>SUMPRODUCT(Y10:AI10,Y20:AI20)</f>
        <v>0.27500000000000002</v>
      </c>
      <c r="AK10" s="49">
        <f t="shared" si="1"/>
        <v>0.28886554621848742</v>
      </c>
      <c r="AL10" s="51"/>
      <c r="AM10" s="11" t="str">
        <f t="shared" si="2"/>
        <v>HDPE</v>
      </c>
      <c r="AN10" s="52">
        <f t="shared" si="3"/>
        <v>0</v>
      </c>
      <c r="AO10" s="52">
        <f t="shared" si="3"/>
        <v>0.55000000000000004</v>
      </c>
      <c r="AP10" s="52">
        <f t="shared" si="3"/>
        <v>0</v>
      </c>
      <c r="AQ10" s="52">
        <f t="shared" si="3"/>
        <v>0</v>
      </c>
      <c r="AR10" s="52">
        <f t="shared" si="0"/>
        <v>0</v>
      </c>
      <c r="AS10" s="52">
        <f t="shared" si="0"/>
        <v>0</v>
      </c>
      <c r="AT10" s="52">
        <f t="shared" si="0"/>
        <v>0</v>
      </c>
      <c r="AU10" s="52">
        <f t="shared" si="0"/>
        <v>0</v>
      </c>
      <c r="AV10" s="52">
        <f t="shared" si="0"/>
        <v>0</v>
      </c>
      <c r="AW10" s="52">
        <f t="shared" si="0"/>
        <v>0</v>
      </c>
      <c r="AX10" s="52">
        <f t="shared" si="0"/>
        <v>0</v>
      </c>
      <c r="AY10" s="48">
        <f>SUMPRODUCT(AN10:AX10,AN20:AX20)</f>
        <v>0.27500000000000002</v>
      </c>
      <c r="AZ10" s="49">
        <f t="shared" si="4"/>
        <v>0.28886554621848742</v>
      </c>
      <c r="BA10" s="11" t="s">
        <v>5</v>
      </c>
      <c r="BB10" s="11" t="s">
        <v>9</v>
      </c>
      <c r="BC10" s="11">
        <v>2</v>
      </c>
      <c r="BD10" s="42" t="s">
        <v>10</v>
      </c>
      <c r="BE10" s="11">
        <f>(25.4*0.001)^2*(0.3048)*2.2046*1000</f>
        <v>0.43352305553280002</v>
      </c>
      <c r="BF10" s="42" t="s">
        <v>74</v>
      </c>
      <c r="BG10" s="42" t="s">
        <v>11</v>
      </c>
      <c r="BH10" s="11">
        <f t="shared" si="5"/>
        <v>1E-3</v>
      </c>
      <c r="BI10" s="42">
        <f>BH10*BE10</f>
        <v>4.3352305553280004E-4</v>
      </c>
      <c r="BJ10" s="206"/>
    </row>
    <row r="11" spans="1:62" x14ac:dyDescent="0.2">
      <c r="A11" s="206"/>
      <c r="B11" s="58"/>
      <c r="C11" s="11" t="s">
        <v>5</v>
      </c>
      <c r="D11" s="8"/>
      <c r="E11" s="53" t="s">
        <v>85</v>
      </c>
      <c r="F11" s="59">
        <v>1300</v>
      </c>
      <c r="G11" s="60">
        <v>0.91800000000000004</v>
      </c>
      <c r="H11" s="28"/>
      <c r="I11" s="11" t="str">
        <f t="shared" si="7"/>
        <v>EXCEED 1018</v>
      </c>
      <c r="J11" s="57"/>
      <c r="K11" s="57"/>
      <c r="L11" s="57"/>
      <c r="M11" s="57"/>
      <c r="N11" s="57"/>
      <c r="O11" s="57"/>
      <c r="P11" s="57"/>
      <c r="Q11" s="57"/>
      <c r="R11" s="57"/>
      <c r="S11" s="57"/>
      <c r="T11" s="57"/>
      <c r="U11" s="48">
        <f>SUMPRODUCT(J11:T11,J20:T20)</f>
        <v>0</v>
      </c>
      <c r="V11" s="49" t="str">
        <f t="shared" si="8"/>
        <v/>
      </c>
      <c r="W11" s="50"/>
      <c r="X11" s="11" t="str">
        <f t="shared" si="9"/>
        <v>EXCEED 1018</v>
      </c>
      <c r="Y11" s="57">
        <v>0.7</v>
      </c>
      <c r="Z11" s="57"/>
      <c r="AA11" s="57">
        <v>0.7</v>
      </c>
      <c r="AB11" s="57"/>
      <c r="AC11" s="57"/>
      <c r="AD11" s="57"/>
      <c r="AE11" s="57"/>
      <c r="AF11" s="57"/>
      <c r="AG11" s="57"/>
      <c r="AH11" s="57"/>
      <c r="AI11" s="57"/>
      <c r="AJ11" s="48">
        <f>SUMPRODUCT(Y11:AI11,Y20:AI20)</f>
        <v>0.35</v>
      </c>
      <c r="AK11" s="49">
        <f t="shared" si="1"/>
        <v>0.38126361655773416</v>
      </c>
      <c r="AL11" s="51"/>
      <c r="AM11" s="11" t="str">
        <f t="shared" si="2"/>
        <v>EXCEED 1018</v>
      </c>
      <c r="AN11" s="52">
        <f t="shared" si="3"/>
        <v>0.7</v>
      </c>
      <c r="AO11" s="52">
        <f t="shared" si="3"/>
        <v>0</v>
      </c>
      <c r="AP11" s="52">
        <f t="shared" si="3"/>
        <v>0.7</v>
      </c>
      <c r="AQ11" s="52">
        <f t="shared" si="3"/>
        <v>0</v>
      </c>
      <c r="AR11" s="52">
        <f t="shared" si="0"/>
        <v>0</v>
      </c>
      <c r="AS11" s="52">
        <f t="shared" si="0"/>
        <v>0</v>
      </c>
      <c r="AT11" s="52">
        <f t="shared" si="0"/>
        <v>0</v>
      </c>
      <c r="AU11" s="52">
        <f t="shared" si="0"/>
        <v>0</v>
      </c>
      <c r="AV11" s="52">
        <f t="shared" si="0"/>
        <v>0</v>
      </c>
      <c r="AW11" s="52">
        <f t="shared" si="0"/>
        <v>0</v>
      </c>
      <c r="AX11" s="52">
        <f t="shared" si="0"/>
        <v>0</v>
      </c>
      <c r="AY11" s="48">
        <f>SUMPRODUCT(AN11:AX11,AN20:AX20)</f>
        <v>0.35</v>
      </c>
      <c r="AZ11" s="49">
        <f t="shared" si="4"/>
        <v>0.38126361655773416</v>
      </c>
      <c r="BA11" s="11" t="s">
        <v>5</v>
      </c>
      <c r="BB11" s="11" t="s">
        <v>12</v>
      </c>
      <c r="BC11" s="11">
        <v>3</v>
      </c>
      <c r="BD11" s="42" t="s">
        <v>13</v>
      </c>
      <c r="BE11" s="11">
        <f>(25.4*0.001)*(0.3048)^2*2.2046*1000</f>
        <v>5.2022766663936002</v>
      </c>
      <c r="BF11" s="42" t="s">
        <v>73</v>
      </c>
      <c r="BG11" s="42" t="s">
        <v>14</v>
      </c>
      <c r="BH11" s="11">
        <f t="shared" si="5"/>
        <v>1E-3</v>
      </c>
      <c r="BI11" s="42">
        <f t="shared" si="6"/>
        <v>5.2022766663936005E-3</v>
      </c>
      <c r="BJ11" s="206"/>
    </row>
    <row r="12" spans="1:62" x14ac:dyDescent="0.2">
      <c r="A12" s="206"/>
      <c r="B12" s="28"/>
      <c r="C12" s="28"/>
      <c r="D12" s="28"/>
      <c r="E12" s="53" t="s">
        <v>86</v>
      </c>
      <c r="F12" s="59">
        <v>1350</v>
      </c>
      <c r="G12" s="60">
        <v>0.92</v>
      </c>
      <c r="H12" s="28"/>
      <c r="I12" s="11" t="str">
        <f t="shared" si="7"/>
        <v>ENABLE 2005</v>
      </c>
      <c r="J12" s="57"/>
      <c r="K12" s="57"/>
      <c r="L12" s="57"/>
      <c r="M12" s="57"/>
      <c r="N12" s="57"/>
      <c r="O12" s="57"/>
      <c r="P12" s="57"/>
      <c r="Q12" s="57"/>
      <c r="R12" s="57"/>
      <c r="S12" s="57"/>
      <c r="T12" s="57"/>
      <c r="U12" s="48">
        <f>SUMPRODUCT(J12:T12,J20:T20)</f>
        <v>0</v>
      </c>
      <c r="V12" s="49" t="str">
        <f t="shared" si="8"/>
        <v/>
      </c>
      <c r="W12" s="50"/>
      <c r="X12" s="11" t="str">
        <f t="shared" si="9"/>
        <v>ENABLE 2005</v>
      </c>
      <c r="Y12" s="57">
        <v>0.3</v>
      </c>
      <c r="Z12" s="57">
        <v>0.45</v>
      </c>
      <c r="AA12" s="57">
        <v>0.3</v>
      </c>
      <c r="AB12" s="57"/>
      <c r="AC12" s="57"/>
      <c r="AD12" s="57"/>
      <c r="AE12" s="57"/>
      <c r="AF12" s="57"/>
      <c r="AG12" s="57"/>
      <c r="AH12" s="57"/>
      <c r="AI12" s="57"/>
      <c r="AJ12" s="48">
        <f>SUMPRODUCT(Y12:AI12,Y20:AI20)</f>
        <v>0.375</v>
      </c>
      <c r="AK12" s="49">
        <f t="shared" si="1"/>
        <v>0.40760869565217389</v>
      </c>
      <c r="AL12" s="51"/>
      <c r="AM12" s="11" t="str">
        <f t="shared" si="2"/>
        <v>ENABLE 2005</v>
      </c>
      <c r="AN12" s="52">
        <f t="shared" si="3"/>
        <v>0.3</v>
      </c>
      <c r="AO12" s="52">
        <f t="shared" si="3"/>
        <v>0.45</v>
      </c>
      <c r="AP12" s="52">
        <f t="shared" si="3"/>
        <v>0.3</v>
      </c>
      <c r="AQ12" s="52">
        <f t="shared" si="3"/>
        <v>0</v>
      </c>
      <c r="AR12" s="52">
        <f t="shared" si="0"/>
        <v>0</v>
      </c>
      <c r="AS12" s="52">
        <f t="shared" si="0"/>
        <v>0</v>
      </c>
      <c r="AT12" s="52">
        <f t="shared" si="0"/>
        <v>0</v>
      </c>
      <c r="AU12" s="52">
        <f t="shared" si="0"/>
        <v>0</v>
      </c>
      <c r="AV12" s="52">
        <f t="shared" si="0"/>
        <v>0</v>
      </c>
      <c r="AW12" s="52">
        <f t="shared" si="0"/>
        <v>0</v>
      </c>
      <c r="AX12" s="52">
        <f t="shared" si="0"/>
        <v>0</v>
      </c>
      <c r="AY12" s="48">
        <f>SUMPRODUCT(AN12:AX12,AN20:AX20)</f>
        <v>0.375</v>
      </c>
      <c r="AZ12" s="49">
        <f t="shared" si="4"/>
        <v>0.40760869565217389</v>
      </c>
      <c r="BA12" s="11" t="s">
        <v>5</v>
      </c>
      <c r="BB12" s="11" t="s">
        <v>15</v>
      </c>
      <c r="BC12" s="11">
        <v>4</v>
      </c>
      <c r="BD12" s="42" t="s">
        <v>16</v>
      </c>
      <c r="BE12" s="11">
        <f>3.7854*2.2046</f>
        <v>8.3452928400000008</v>
      </c>
      <c r="BF12" s="42" t="s">
        <v>77</v>
      </c>
      <c r="BG12" s="42" t="s">
        <v>15</v>
      </c>
      <c r="BH12" s="11">
        <f t="shared" si="5"/>
        <v>1E-3</v>
      </c>
      <c r="BI12" s="42">
        <f t="shared" si="6"/>
        <v>8.3452928400000008E-3</v>
      </c>
      <c r="BJ12" s="206"/>
    </row>
    <row r="13" spans="1:62" x14ac:dyDescent="0.2">
      <c r="A13" s="206"/>
      <c r="B13" s="146" t="s">
        <v>61</v>
      </c>
      <c r="C13" s="19">
        <v>1</v>
      </c>
      <c r="D13" s="61"/>
      <c r="E13" s="53"/>
      <c r="F13" s="59"/>
      <c r="G13" s="60"/>
      <c r="H13" s="29"/>
      <c r="I13" s="11" t="str">
        <f t="shared" si="7"/>
        <v/>
      </c>
      <c r="J13" s="57"/>
      <c r="K13" s="57"/>
      <c r="L13" s="57"/>
      <c r="M13" s="57"/>
      <c r="N13" s="57"/>
      <c r="O13" s="57"/>
      <c r="P13" s="57"/>
      <c r="Q13" s="57"/>
      <c r="R13" s="57"/>
      <c r="S13" s="57"/>
      <c r="T13" s="57"/>
      <c r="U13" s="48">
        <f>SUMPRODUCT(J13:T13,J20:T20)</f>
        <v>0</v>
      </c>
      <c r="V13" s="49" t="str">
        <f t="shared" si="8"/>
        <v/>
      </c>
      <c r="W13" s="50"/>
      <c r="X13" s="11" t="str">
        <f t="shared" si="9"/>
        <v/>
      </c>
      <c r="Y13" s="57"/>
      <c r="Z13" s="57"/>
      <c r="AA13" s="57"/>
      <c r="AB13" s="57"/>
      <c r="AC13" s="57"/>
      <c r="AD13" s="57"/>
      <c r="AE13" s="57"/>
      <c r="AF13" s="57"/>
      <c r="AG13" s="57"/>
      <c r="AH13" s="57"/>
      <c r="AI13" s="57"/>
      <c r="AJ13" s="48">
        <f>SUMPRODUCT(Y13:AI13,Y20:AI20)</f>
        <v>0</v>
      </c>
      <c r="AK13" s="49" t="str">
        <f t="shared" si="1"/>
        <v/>
      </c>
      <c r="AL13" s="51"/>
      <c r="AM13" s="11">
        <f t="shared" si="2"/>
        <v>0</v>
      </c>
      <c r="AN13" s="52">
        <f t="shared" si="3"/>
        <v>0</v>
      </c>
      <c r="AO13" s="52">
        <f t="shared" si="3"/>
        <v>0</v>
      </c>
      <c r="AP13" s="52">
        <f t="shared" si="3"/>
        <v>0</v>
      </c>
      <c r="AQ13" s="52">
        <f t="shared" si="3"/>
        <v>0</v>
      </c>
      <c r="AR13" s="52">
        <f t="shared" si="0"/>
        <v>0</v>
      </c>
      <c r="AS13" s="52">
        <f t="shared" si="0"/>
        <v>0</v>
      </c>
      <c r="AT13" s="52">
        <f t="shared" si="0"/>
        <v>0</v>
      </c>
      <c r="AU13" s="52">
        <f t="shared" si="0"/>
        <v>0</v>
      </c>
      <c r="AV13" s="52">
        <f t="shared" si="0"/>
        <v>0</v>
      </c>
      <c r="AW13" s="52">
        <f t="shared" si="0"/>
        <v>0</v>
      </c>
      <c r="AX13" s="52">
        <f t="shared" si="0"/>
        <v>0</v>
      </c>
      <c r="AY13" s="48">
        <f>SUMPRODUCT(AN13:AX13,AN20:AX20)</f>
        <v>0</v>
      </c>
      <c r="AZ13" s="49" t="str">
        <f t="shared" si="4"/>
        <v/>
      </c>
      <c r="BA13" s="11" t="s">
        <v>5</v>
      </c>
      <c r="BB13" s="11" t="s">
        <v>19</v>
      </c>
      <c r="BC13" s="11">
        <v>5</v>
      </c>
      <c r="BD13" s="42" t="s">
        <v>10</v>
      </c>
      <c r="BE13" s="11">
        <f>(25.4*0.000001)^2*(0.3048)*2.2046*1000</f>
        <v>4.3352305553279992E-7</v>
      </c>
      <c r="BF13" s="42" t="s">
        <v>74</v>
      </c>
      <c r="BG13" s="42" t="s">
        <v>11</v>
      </c>
      <c r="BH13" s="11">
        <f t="shared" si="5"/>
        <v>1E-3</v>
      </c>
      <c r="BI13" s="42">
        <f t="shared" si="6"/>
        <v>4.3352305553279994E-10</v>
      </c>
      <c r="BJ13" s="206"/>
    </row>
    <row r="14" spans="1:62" x14ac:dyDescent="0.2">
      <c r="A14" s="206"/>
      <c r="B14" s="28"/>
      <c r="C14" s="28"/>
      <c r="D14" s="28"/>
      <c r="E14" s="53"/>
      <c r="F14" s="59"/>
      <c r="G14" s="60"/>
      <c r="H14" s="28"/>
      <c r="I14" s="11" t="str">
        <f t="shared" si="7"/>
        <v/>
      </c>
      <c r="J14" s="57"/>
      <c r="K14" s="57"/>
      <c r="L14" s="57"/>
      <c r="M14" s="57"/>
      <c r="N14" s="57"/>
      <c r="O14" s="57"/>
      <c r="P14" s="57"/>
      <c r="Q14" s="57"/>
      <c r="R14" s="57"/>
      <c r="S14" s="57"/>
      <c r="T14" s="57"/>
      <c r="U14" s="48">
        <f>SUMPRODUCT(J14:T14,J20:T20)</f>
        <v>0</v>
      </c>
      <c r="V14" s="49" t="str">
        <f t="shared" si="8"/>
        <v/>
      </c>
      <c r="W14" s="50"/>
      <c r="X14" s="11" t="str">
        <f t="shared" si="9"/>
        <v/>
      </c>
      <c r="Y14" s="57"/>
      <c r="Z14" s="57"/>
      <c r="AA14" s="57"/>
      <c r="AB14" s="57"/>
      <c r="AC14" s="57"/>
      <c r="AD14" s="57"/>
      <c r="AE14" s="57"/>
      <c r="AF14" s="57"/>
      <c r="AG14" s="57"/>
      <c r="AH14" s="57"/>
      <c r="AI14" s="57"/>
      <c r="AJ14" s="48">
        <f>SUMPRODUCT(Y14:AI14,Y20:AI20)</f>
        <v>0</v>
      </c>
      <c r="AK14" s="49" t="str">
        <f t="shared" si="1"/>
        <v/>
      </c>
      <c r="AL14" s="51"/>
      <c r="AM14" s="11">
        <f t="shared" si="2"/>
        <v>0</v>
      </c>
      <c r="AN14" s="52">
        <f t="shared" si="3"/>
        <v>0</v>
      </c>
      <c r="AO14" s="52">
        <f t="shared" si="3"/>
        <v>0</v>
      </c>
      <c r="AP14" s="52">
        <f t="shared" si="3"/>
        <v>0</v>
      </c>
      <c r="AQ14" s="52">
        <f t="shared" si="3"/>
        <v>0</v>
      </c>
      <c r="AR14" s="52">
        <f t="shared" si="0"/>
        <v>0</v>
      </c>
      <c r="AS14" s="52">
        <f t="shared" si="0"/>
        <v>0</v>
      </c>
      <c r="AT14" s="52">
        <f t="shared" si="0"/>
        <v>0</v>
      </c>
      <c r="AU14" s="52">
        <f t="shared" si="0"/>
        <v>0</v>
      </c>
      <c r="AV14" s="52">
        <f t="shared" si="0"/>
        <v>0</v>
      </c>
      <c r="AW14" s="52">
        <f t="shared" si="0"/>
        <v>0</v>
      </c>
      <c r="AX14" s="52">
        <f t="shared" si="0"/>
        <v>0</v>
      </c>
      <c r="AY14" s="48">
        <f>SUMPRODUCT(AN14:AX14,AN20:AX20)</f>
        <v>0</v>
      </c>
      <c r="AZ14" s="49" t="str">
        <f t="shared" si="4"/>
        <v/>
      </c>
      <c r="BA14" s="11" t="s">
        <v>5</v>
      </c>
      <c r="BB14" s="11" t="s">
        <v>20</v>
      </c>
      <c r="BC14" s="11">
        <v>6</v>
      </c>
      <c r="BD14" s="42" t="s">
        <v>13</v>
      </c>
      <c r="BE14" s="62">
        <f>(25.4*0.000001)*(0.3048)^2*2.2046*1000</f>
        <v>5.2022766663936005E-3</v>
      </c>
      <c r="BF14" s="42" t="s">
        <v>73</v>
      </c>
      <c r="BG14" s="42" t="s">
        <v>14</v>
      </c>
      <c r="BH14" s="11">
        <f t="shared" si="5"/>
        <v>1E-3</v>
      </c>
      <c r="BI14" s="42">
        <f t="shared" si="6"/>
        <v>5.202276666393601E-6</v>
      </c>
      <c r="BJ14" s="206"/>
    </row>
    <row r="15" spans="1:62" x14ac:dyDescent="0.2">
      <c r="A15" s="206"/>
      <c r="B15" s="21"/>
      <c r="C15" s="21"/>
      <c r="D15" s="28"/>
      <c r="E15" s="53"/>
      <c r="F15" s="59"/>
      <c r="G15" s="60"/>
      <c r="H15" s="28"/>
      <c r="I15" s="11" t="str">
        <f t="shared" si="7"/>
        <v/>
      </c>
      <c r="J15" s="57"/>
      <c r="K15" s="57"/>
      <c r="L15" s="57"/>
      <c r="M15" s="57"/>
      <c r="N15" s="57"/>
      <c r="O15" s="57"/>
      <c r="P15" s="57"/>
      <c r="Q15" s="57"/>
      <c r="R15" s="57"/>
      <c r="S15" s="57"/>
      <c r="T15" s="57"/>
      <c r="U15" s="48">
        <f>SUMPRODUCT(J15:T15,J20:T20)</f>
        <v>0</v>
      </c>
      <c r="V15" s="49" t="str">
        <f t="shared" si="8"/>
        <v/>
      </c>
      <c r="W15" s="50"/>
      <c r="X15" s="11" t="str">
        <f t="shared" si="9"/>
        <v/>
      </c>
      <c r="Y15" s="57"/>
      <c r="Z15" s="57"/>
      <c r="AA15" s="57"/>
      <c r="AB15" s="57"/>
      <c r="AC15" s="57"/>
      <c r="AD15" s="57"/>
      <c r="AE15" s="57"/>
      <c r="AF15" s="57"/>
      <c r="AG15" s="57"/>
      <c r="AH15" s="57"/>
      <c r="AI15" s="57"/>
      <c r="AJ15" s="48">
        <f>SUMPRODUCT(Y15:AI15,Y20:AI20)</f>
        <v>0</v>
      </c>
      <c r="AK15" s="49" t="str">
        <f t="shared" si="1"/>
        <v/>
      </c>
      <c r="AL15" s="51"/>
      <c r="AM15" s="11">
        <f t="shared" si="2"/>
        <v>0</v>
      </c>
      <c r="AN15" s="52">
        <f t="shared" si="3"/>
        <v>0</v>
      </c>
      <c r="AO15" s="52">
        <f t="shared" si="3"/>
        <v>0</v>
      </c>
      <c r="AP15" s="52">
        <f t="shared" si="3"/>
        <v>0</v>
      </c>
      <c r="AQ15" s="52">
        <f t="shared" si="3"/>
        <v>0</v>
      </c>
      <c r="AR15" s="52">
        <f t="shared" si="0"/>
        <v>0</v>
      </c>
      <c r="AS15" s="52">
        <f t="shared" si="0"/>
        <v>0</v>
      </c>
      <c r="AT15" s="52">
        <f t="shared" si="0"/>
        <v>0</v>
      </c>
      <c r="AU15" s="52">
        <f t="shared" si="0"/>
        <v>0</v>
      </c>
      <c r="AV15" s="52">
        <f t="shared" si="0"/>
        <v>0</v>
      </c>
      <c r="AW15" s="52">
        <f t="shared" si="0"/>
        <v>0</v>
      </c>
      <c r="AX15" s="52">
        <f t="shared" si="0"/>
        <v>0</v>
      </c>
      <c r="AY15" s="48">
        <f>SUMPRODUCT(AN15:AX15,AN20:AX20)</f>
        <v>0</v>
      </c>
      <c r="AZ15" s="49" t="str">
        <f t="shared" si="4"/>
        <v/>
      </c>
      <c r="BA15" s="11" t="s">
        <v>5</v>
      </c>
      <c r="BB15" s="11" t="s">
        <v>6</v>
      </c>
      <c r="BC15" s="11">
        <v>7</v>
      </c>
      <c r="BD15" s="11" t="s">
        <v>7</v>
      </c>
      <c r="BE15" s="42"/>
      <c r="BF15" s="11" t="s">
        <v>7</v>
      </c>
      <c r="BG15" s="11" t="s">
        <v>7</v>
      </c>
      <c r="BH15" s="11">
        <f t="shared" si="5"/>
        <v>1E-3</v>
      </c>
      <c r="BI15" s="42">
        <f t="shared" si="6"/>
        <v>0</v>
      </c>
      <c r="BJ15" s="206"/>
    </row>
    <row r="16" spans="1:62" x14ac:dyDescent="0.2">
      <c r="A16" s="206"/>
      <c r="B16" s="21"/>
      <c r="C16" s="21"/>
      <c r="D16" s="28"/>
      <c r="E16" s="53"/>
      <c r="F16" s="59"/>
      <c r="G16" s="60"/>
      <c r="H16" s="28"/>
      <c r="I16" s="11" t="str">
        <f t="shared" si="7"/>
        <v/>
      </c>
      <c r="J16" s="57"/>
      <c r="K16" s="57"/>
      <c r="L16" s="57"/>
      <c r="M16" s="57"/>
      <c r="N16" s="57"/>
      <c r="O16" s="57"/>
      <c r="P16" s="57"/>
      <c r="Q16" s="57"/>
      <c r="R16" s="57"/>
      <c r="S16" s="57"/>
      <c r="T16" s="57"/>
      <c r="U16" s="48">
        <f>SUMPRODUCT(J16:T16,J20:T20)</f>
        <v>0</v>
      </c>
      <c r="V16" s="49" t="str">
        <f t="shared" si="8"/>
        <v/>
      </c>
      <c r="W16" s="50"/>
      <c r="X16" s="11" t="str">
        <f t="shared" si="9"/>
        <v/>
      </c>
      <c r="Y16" s="57"/>
      <c r="Z16" s="57"/>
      <c r="AA16" s="57"/>
      <c r="AB16" s="57"/>
      <c r="AC16" s="57"/>
      <c r="AD16" s="57"/>
      <c r="AE16" s="57"/>
      <c r="AF16" s="57"/>
      <c r="AG16" s="57"/>
      <c r="AH16" s="57"/>
      <c r="AI16" s="57"/>
      <c r="AJ16" s="48">
        <f>SUMPRODUCT(Y16:AI16,Y20:AI20)</f>
        <v>0</v>
      </c>
      <c r="AK16" s="49" t="str">
        <f t="shared" si="1"/>
        <v/>
      </c>
      <c r="AL16" s="51"/>
      <c r="AM16" s="11">
        <f t="shared" si="2"/>
        <v>0</v>
      </c>
      <c r="AN16" s="52">
        <f t="shared" si="3"/>
        <v>0</v>
      </c>
      <c r="AO16" s="52">
        <f t="shared" si="3"/>
        <v>0</v>
      </c>
      <c r="AP16" s="52">
        <f t="shared" si="3"/>
        <v>0</v>
      </c>
      <c r="AQ16" s="52">
        <f t="shared" si="3"/>
        <v>0</v>
      </c>
      <c r="AR16" s="52">
        <f t="shared" si="0"/>
        <v>0</v>
      </c>
      <c r="AS16" s="52">
        <f t="shared" si="0"/>
        <v>0</v>
      </c>
      <c r="AT16" s="52">
        <f t="shared" si="0"/>
        <v>0</v>
      </c>
      <c r="AU16" s="52">
        <f t="shared" si="0"/>
        <v>0</v>
      </c>
      <c r="AV16" s="52">
        <f t="shared" si="0"/>
        <v>0</v>
      </c>
      <c r="AW16" s="52">
        <f t="shared" si="0"/>
        <v>0</v>
      </c>
      <c r="AX16" s="52">
        <f t="shared" si="0"/>
        <v>0</v>
      </c>
      <c r="AY16" s="48">
        <f>SUMPRODUCT(AN16:AX16,AN20:AX20)</f>
        <v>0</v>
      </c>
      <c r="AZ16" s="49" t="str">
        <f t="shared" si="4"/>
        <v/>
      </c>
      <c r="BA16" s="11" t="s">
        <v>5</v>
      </c>
      <c r="BB16" s="11" t="s">
        <v>21</v>
      </c>
      <c r="BC16" s="11">
        <v>8</v>
      </c>
      <c r="BD16" s="42" t="s">
        <v>22</v>
      </c>
      <c r="BE16" s="11">
        <f>(0.001)^2*2.2046*1000</f>
        <v>2.2046000000000001E-3</v>
      </c>
      <c r="BF16" s="42" t="s">
        <v>72</v>
      </c>
      <c r="BG16" s="42" t="s">
        <v>23</v>
      </c>
      <c r="BH16" s="11">
        <f t="shared" si="5"/>
        <v>1E-3</v>
      </c>
      <c r="BI16" s="42">
        <f t="shared" si="6"/>
        <v>2.2046E-6</v>
      </c>
      <c r="BJ16" s="206"/>
    </row>
    <row r="17" spans="1:62" x14ac:dyDescent="0.2">
      <c r="A17" s="206"/>
      <c r="B17" s="28"/>
      <c r="C17" s="28"/>
      <c r="D17" s="28"/>
      <c r="E17" s="53"/>
      <c r="F17" s="59"/>
      <c r="G17" s="60"/>
      <c r="H17" s="28"/>
      <c r="I17" s="11" t="str">
        <f t="shared" si="7"/>
        <v/>
      </c>
      <c r="J17" s="57"/>
      <c r="K17" s="57"/>
      <c r="L17" s="57"/>
      <c r="M17" s="57"/>
      <c r="N17" s="57"/>
      <c r="O17" s="57"/>
      <c r="P17" s="57"/>
      <c r="Q17" s="57"/>
      <c r="R17" s="57"/>
      <c r="S17" s="57"/>
      <c r="T17" s="57"/>
      <c r="U17" s="48">
        <f>SUMPRODUCT(J17:T17,J20:T20)</f>
        <v>0</v>
      </c>
      <c r="V17" s="49" t="str">
        <f t="shared" si="8"/>
        <v/>
      </c>
      <c r="W17" s="50"/>
      <c r="X17" s="11" t="str">
        <f t="shared" si="9"/>
        <v/>
      </c>
      <c r="Y17" s="57"/>
      <c r="Z17" s="57"/>
      <c r="AA17" s="57"/>
      <c r="AB17" s="57"/>
      <c r="AC17" s="57"/>
      <c r="AD17" s="57"/>
      <c r="AE17" s="57"/>
      <c r="AF17" s="57"/>
      <c r="AG17" s="57"/>
      <c r="AH17" s="57"/>
      <c r="AI17" s="57"/>
      <c r="AJ17" s="48">
        <f>SUMPRODUCT(Y17:AI17,Y20:AI20)</f>
        <v>0</v>
      </c>
      <c r="AK17" s="49" t="str">
        <f t="shared" si="1"/>
        <v/>
      </c>
      <c r="AL17" s="51"/>
      <c r="AM17" s="11">
        <f t="shared" si="2"/>
        <v>0</v>
      </c>
      <c r="AN17" s="52">
        <f t="shared" si="3"/>
        <v>0</v>
      </c>
      <c r="AO17" s="52">
        <f t="shared" si="3"/>
        <v>0</v>
      </c>
      <c r="AP17" s="52">
        <f t="shared" si="3"/>
        <v>0</v>
      </c>
      <c r="AQ17" s="52">
        <f t="shared" si="3"/>
        <v>0</v>
      </c>
      <c r="AR17" s="52">
        <f t="shared" si="0"/>
        <v>0</v>
      </c>
      <c r="AS17" s="52">
        <f t="shared" si="0"/>
        <v>0</v>
      </c>
      <c r="AT17" s="52">
        <f t="shared" si="0"/>
        <v>0</v>
      </c>
      <c r="AU17" s="52">
        <f t="shared" si="0"/>
        <v>0</v>
      </c>
      <c r="AV17" s="52">
        <f t="shared" si="0"/>
        <v>0</v>
      </c>
      <c r="AW17" s="52">
        <f t="shared" si="0"/>
        <v>0</v>
      </c>
      <c r="AX17" s="52">
        <f t="shared" si="0"/>
        <v>0</v>
      </c>
      <c r="AY17" s="48">
        <f>SUMPRODUCT(AN17:AX17,AN20:AX20)</f>
        <v>0</v>
      </c>
      <c r="AZ17" s="49" t="str">
        <f t="shared" si="4"/>
        <v/>
      </c>
      <c r="BA17" s="11" t="s">
        <v>5</v>
      </c>
      <c r="BB17" s="11" t="s">
        <v>24</v>
      </c>
      <c r="BC17" s="11">
        <v>9</v>
      </c>
      <c r="BD17" s="42" t="s">
        <v>25</v>
      </c>
      <c r="BE17" s="11">
        <f>0.001*2.2046*1000</f>
        <v>2.2046000000000001</v>
      </c>
      <c r="BF17" s="42" t="s">
        <v>71</v>
      </c>
      <c r="BG17" s="42" t="s">
        <v>26</v>
      </c>
      <c r="BH17" s="11">
        <f t="shared" si="5"/>
        <v>1E-3</v>
      </c>
      <c r="BI17" s="42">
        <f t="shared" si="6"/>
        <v>2.2046000000000001E-3</v>
      </c>
      <c r="BJ17" s="206"/>
    </row>
    <row r="18" spans="1:62" x14ac:dyDescent="0.2">
      <c r="A18" s="206"/>
      <c r="B18" s="28"/>
      <c r="C18" s="28"/>
      <c r="D18" s="28"/>
      <c r="E18" s="53"/>
      <c r="F18" s="59"/>
      <c r="G18" s="60"/>
      <c r="H18" s="28"/>
      <c r="I18" s="11" t="str">
        <f t="shared" si="7"/>
        <v/>
      </c>
      <c r="J18" s="109"/>
      <c r="K18" s="109"/>
      <c r="L18" s="109"/>
      <c r="M18" s="109"/>
      <c r="N18" s="109"/>
      <c r="O18" s="109"/>
      <c r="P18" s="109"/>
      <c r="Q18" s="109"/>
      <c r="R18" s="109"/>
      <c r="S18" s="109"/>
      <c r="T18" s="109"/>
      <c r="U18" s="48">
        <f>SUMPRODUCT(J18:T18,J20:T20)</f>
        <v>0</v>
      </c>
      <c r="V18" s="49" t="str">
        <f>IF($C$13&lt;&gt;1,U18*$G18,IF(U18&lt;&gt;0,U18/$G18,""))</f>
        <v/>
      </c>
      <c r="W18" s="50"/>
      <c r="X18" s="11" t="str">
        <f t="shared" si="9"/>
        <v/>
      </c>
      <c r="Y18" s="57"/>
      <c r="Z18" s="57"/>
      <c r="AA18" s="57"/>
      <c r="AB18" s="57"/>
      <c r="AC18" s="57"/>
      <c r="AD18" s="57"/>
      <c r="AE18" s="57"/>
      <c r="AF18" s="57"/>
      <c r="AG18" s="57"/>
      <c r="AH18" s="57"/>
      <c r="AI18" s="57"/>
      <c r="AJ18" s="48">
        <f>SUMPRODUCT(Y18:AI18,Y20:AI20)</f>
        <v>0</v>
      </c>
      <c r="AK18" s="49" t="str">
        <f t="shared" si="1"/>
        <v/>
      </c>
      <c r="AL18" s="51"/>
      <c r="AM18" s="11">
        <f t="shared" si="2"/>
        <v>0</v>
      </c>
      <c r="AN18" s="65">
        <f t="shared" si="3"/>
        <v>0</v>
      </c>
      <c r="AO18" s="65">
        <f t="shared" si="3"/>
        <v>0</v>
      </c>
      <c r="AP18" s="65">
        <f t="shared" si="3"/>
        <v>0</v>
      </c>
      <c r="AQ18" s="65">
        <f t="shared" si="3"/>
        <v>0</v>
      </c>
      <c r="AR18" s="65">
        <f t="shared" si="0"/>
        <v>0</v>
      </c>
      <c r="AS18" s="65">
        <f t="shared" si="0"/>
        <v>0</v>
      </c>
      <c r="AT18" s="65">
        <f t="shared" si="0"/>
        <v>0</v>
      </c>
      <c r="AU18" s="65">
        <f t="shared" si="0"/>
        <v>0</v>
      </c>
      <c r="AV18" s="65">
        <f t="shared" si="0"/>
        <v>0</v>
      </c>
      <c r="AW18" s="65">
        <f t="shared" si="0"/>
        <v>0</v>
      </c>
      <c r="AX18" s="65">
        <f t="shared" si="0"/>
        <v>0</v>
      </c>
      <c r="AY18" s="48">
        <f>SUMPRODUCT(AN18:AX18,AN20:AX20)</f>
        <v>0</v>
      </c>
      <c r="AZ18" s="49" t="str">
        <f t="shared" si="4"/>
        <v/>
      </c>
      <c r="BA18" s="11" t="s">
        <v>5</v>
      </c>
      <c r="BB18" s="11" t="s">
        <v>27</v>
      </c>
      <c r="BC18" s="11">
        <v>10</v>
      </c>
      <c r="BD18" s="42" t="s">
        <v>28</v>
      </c>
      <c r="BE18" s="11">
        <f>2.2046</f>
        <v>2.2046000000000001</v>
      </c>
      <c r="BF18" s="42" t="s">
        <v>78</v>
      </c>
      <c r="BG18" s="42" t="s">
        <v>29</v>
      </c>
      <c r="BH18" s="11">
        <f t="shared" si="5"/>
        <v>1E-3</v>
      </c>
      <c r="BI18" s="42">
        <f t="shared" si="6"/>
        <v>2.2046000000000001E-3</v>
      </c>
      <c r="BJ18" s="206"/>
    </row>
    <row r="19" spans="1:62" x14ac:dyDescent="0.2">
      <c r="A19" s="206"/>
      <c r="B19" s="28"/>
      <c r="C19" s="28"/>
      <c r="D19" s="28"/>
      <c r="E19" s="67"/>
      <c r="F19" s="63"/>
      <c r="G19" s="64"/>
      <c r="H19" s="28"/>
      <c r="I19" s="11" t="str">
        <f t="shared" si="7"/>
        <v/>
      </c>
      <c r="J19" s="67"/>
      <c r="K19" s="67"/>
      <c r="L19" s="67"/>
      <c r="M19" s="67"/>
      <c r="N19" s="67"/>
      <c r="O19" s="67"/>
      <c r="P19" s="67"/>
      <c r="Q19" s="67"/>
      <c r="R19" s="67"/>
      <c r="S19" s="67"/>
      <c r="T19" s="67"/>
      <c r="U19" s="48">
        <f>SUMPRODUCT(J19:T19,J20:T20)</f>
        <v>0</v>
      </c>
      <c r="V19" s="66"/>
      <c r="W19" s="50"/>
      <c r="X19" s="11" t="str">
        <f t="shared" si="9"/>
        <v/>
      </c>
      <c r="Y19" s="67"/>
      <c r="Z19" s="67"/>
      <c r="AA19" s="67"/>
      <c r="AB19" s="67"/>
      <c r="AC19" s="67"/>
      <c r="AD19" s="67"/>
      <c r="AE19" s="67"/>
      <c r="AF19" s="67"/>
      <c r="AG19" s="67"/>
      <c r="AH19" s="67"/>
      <c r="AI19" s="67"/>
      <c r="AJ19" s="48">
        <f>SUMPRODUCT(Y19:AI19,Y20:AI20)</f>
        <v>0</v>
      </c>
      <c r="AK19" s="49" t="str">
        <f t="shared" si="1"/>
        <v/>
      </c>
      <c r="AL19" s="51"/>
      <c r="AM19" s="48">
        <f>E19</f>
        <v>0</v>
      </c>
      <c r="AN19" s="48">
        <f t="shared" si="3"/>
        <v>0</v>
      </c>
      <c r="AO19" s="48">
        <f t="shared" si="3"/>
        <v>0</v>
      </c>
      <c r="AP19" s="48">
        <f t="shared" si="3"/>
        <v>0</v>
      </c>
      <c r="AQ19" s="48">
        <f t="shared" si="3"/>
        <v>0</v>
      </c>
      <c r="AR19" s="48">
        <f t="shared" si="0"/>
        <v>0</v>
      </c>
      <c r="AS19" s="48">
        <f t="shared" si="0"/>
        <v>0</v>
      </c>
      <c r="AT19" s="48">
        <f t="shared" si="0"/>
        <v>0</v>
      </c>
      <c r="AU19" s="48">
        <f t="shared" si="0"/>
        <v>0</v>
      </c>
      <c r="AV19" s="48">
        <f t="shared" si="0"/>
        <v>0</v>
      </c>
      <c r="AW19" s="48">
        <f t="shared" si="0"/>
        <v>0</v>
      </c>
      <c r="AX19" s="48">
        <f t="shared" si="0"/>
        <v>0</v>
      </c>
      <c r="AY19" s="48">
        <f>SUMPRODUCT(AN19:AX19,AN20:AX20)</f>
        <v>0</v>
      </c>
      <c r="AZ19" s="49" t="str">
        <f>IF($C$13&lt;&gt;1,AY19*$G19,IF(AY19&lt;&gt;0,AY19/$G19,""))</f>
        <v/>
      </c>
      <c r="BA19" s="11" t="s">
        <v>5</v>
      </c>
      <c r="BB19" s="11" t="s">
        <v>30</v>
      </c>
      <c r="BC19" s="11">
        <v>11</v>
      </c>
      <c r="BD19" s="42" t="s">
        <v>22</v>
      </c>
      <c r="BE19" s="11">
        <f>(0.000001)^2*2.2046*1000</f>
        <v>2.2046E-9</v>
      </c>
      <c r="BF19" s="42" t="s">
        <v>72</v>
      </c>
      <c r="BG19" s="42" t="s">
        <v>23</v>
      </c>
      <c r="BH19" s="11">
        <f t="shared" si="5"/>
        <v>1E-3</v>
      </c>
      <c r="BI19" s="42">
        <f t="shared" si="6"/>
        <v>2.2046000000000001E-12</v>
      </c>
      <c r="BJ19" s="206"/>
    </row>
    <row r="20" spans="1:62" x14ac:dyDescent="0.2">
      <c r="A20" s="206"/>
      <c r="B20" s="28"/>
      <c r="C20" s="28"/>
      <c r="D20" s="28"/>
      <c r="E20" s="28"/>
      <c r="F20" s="28"/>
      <c r="G20" s="28"/>
      <c r="H20" s="28"/>
      <c r="I20" s="68"/>
      <c r="J20" s="69">
        <f>J8/SUM(J8:T8)</f>
        <v>0.25</v>
      </c>
      <c r="K20" s="69">
        <f>K8/SUM(J8:T8)</f>
        <v>0.5</v>
      </c>
      <c r="L20" s="69">
        <f>L8/SUM(J8:T8)</f>
        <v>0.25</v>
      </c>
      <c r="M20" s="69">
        <f>M8/SUM(J8:T8)</f>
        <v>0</v>
      </c>
      <c r="N20" s="69">
        <f>N8/SUM(J8:T8)</f>
        <v>0</v>
      </c>
      <c r="O20" s="69">
        <f>O8/SUM(J8:T8)</f>
        <v>0</v>
      </c>
      <c r="P20" s="69">
        <f>P8/SUM(J8:T8)</f>
        <v>0</v>
      </c>
      <c r="Q20" s="69">
        <f>Q8/SUM(J8:T8)</f>
        <v>0</v>
      </c>
      <c r="R20" s="69">
        <f>R8/SUM(J8:T8)</f>
        <v>0</v>
      </c>
      <c r="S20" s="69">
        <f>S8/SUM(J8:T8)</f>
        <v>0</v>
      </c>
      <c r="T20" s="69">
        <f>T8/SUM(J8:T8)</f>
        <v>0</v>
      </c>
      <c r="U20" s="70">
        <f>IF(SUM(U9:U19)&lt;&gt;100%,"&lt;&gt; 100% !!",SUM(U9:U19))</f>
        <v>1</v>
      </c>
      <c r="V20" s="71"/>
      <c r="W20" s="50"/>
      <c r="X20" s="68"/>
      <c r="Y20" s="69">
        <f>Y8/SUM(Y8:AI8)</f>
        <v>0.25</v>
      </c>
      <c r="Z20" s="69">
        <f>Z8/SUM(Y8:AI8)</f>
        <v>0.5</v>
      </c>
      <c r="AA20" s="69">
        <f>AA8/SUM(Y8:AI8)</f>
        <v>0.25</v>
      </c>
      <c r="AB20" s="69">
        <f>AB8/SUM(Y8:AI8)</f>
        <v>0</v>
      </c>
      <c r="AC20" s="69">
        <f>AC8/SUM(Y8:AI8)</f>
        <v>0</v>
      </c>
      <c r="AD20" s="69">
        <f>AD8/SUM(Y8:AI8)</f>
        <v>0</v>
      </c>
      <c r="AE20" s="69">
        <f>AE8/SUM(Y8:AI8)</f>
        <v>0</v>
      </c>
      <c r="AF20" s="69">
        <f>AF8/SUM(Y8:AI8)</f>
        <v>0</v>
      </c>
      <c r="AG20" s="69">
        <f>AG8/SUM(Y8:AI8)</f>
        <v>0</v>
      </c>
      <c r="AH20" s="69">
        <f>AH8/SUM(Y8:AI8)</f>
        <v>0</v>
      </c>
      <c r="AI20" s="69">
        <f>AI8/SUM(Y8:AI8)</f>
        <v>0</v>
      </c>
      <c r="AJ20" s="70">
        <f>IF(SUM(AJ9:AJ19)&lt;&gt;100%,"&lt;&gt; 100% !!",SUM(AJ9:AJ19))</f>
        <v>1</v>
      </c>
      <c r="AK20" s="71"/>
      <c r="AL20" s="71"/>
      <c r="AM20" s="68"/>
      <c r="AN20" s="70">
        <f>AN8/SUM(AN8:AX8)</f>
        <v>0.25</v>
      </c>
      <c r="AO20" s="70">
        <f>AO8/SUM(AN8:AX8)</f>
        <v>0.5</v>
      </c>
      <c r="AP20" s="70">
        <f>AP8/SUM(AN8:AX8)</f>
        <v>0.25</v>
      </c>
      <c r="AQ20" s="70">
        <f>AQ8/SUM($AN8:$AX8)</f>
        <v>0</v>
      </c>
      <c r="AR20" s="70">
        <f t="shared" ref="AR20:AX20" si="10">AR8/SUM($AN8:$AX8)</f>
        <v>0</v>
      </c>
      <c r="AS20" s="70">
        <f t="shared" si="10"/>
        <v>0</v>
      </c>
      <c r="AT20" s="70">
        <f t="shared" si="10"/>
        <v>0</v>
      </c>
      <c r="AU20" s="70">
        <f t="shared" si="10"/>
        <v>0</v>
      </c>
      <c r="AV20" s="70">
        <f t="shared" si="10"/>
        <v>0</v>
      </c>
      <c r="AW20" s="70">
        <f t="shared" si="10"/>
        <v>0</v>
      </c>
      <c r="AX20" s="70">
        <f t="shared" si="10"/>
        <v>0</v>
      </c>
      <c r="AY20" s="72">
        <f>IF(SUM(AY9:AY19)&lt;&gt;100%,"&lt;&gt; 100% !!",SUM(AY9:AY19))</f>
        <v>1</v>
      </c>
      <c r="AZ20" s="36"/>
      <c r="BA20" s="11" t="s">
        <v>5</v>
      </c>
      <c r="BB20" s="11" t="s">
        <v>31</v>
      </c>
      <c r="BC20" s="11">
        <v>12</v>
      </c>
      <c r="BD20" s="42" t="s">
        <v>25</v>
      </c>
      <c r="BE20" s="11">
        <f>0.000001*2.2046*1000</f>
        <v>2.2046000000000001E-3</v>
      </c>
      <c r="BF20" s="42" t="s">
        <v>71</v>
      </c>
      <c r="BG20" s="42" t="s">
        <v>26</v>
      </c>
      <c r="BH20" s="11">
        <f t="shared" si="5"/>
        <v>1E-3</v>
      </c>
      <c r="BI20" s="42">
        <f t="shared" si="6"/>
        <v>2.2046E-6</v>
      </c>
      <c r="BJ20" s="206"/>
    </row>
    <row r="21" spans="1:62" ht="3" customHeight="1" x14ac:dyDescent="0.2">
      <c r="A21" s="206"/>
      <c r="B21" s="28"/>
      <c r="C21" s="28"/>
      <c r="D21" s="28"/>
      <c r="E21" s="28"/>
      <c r="F21" s="28"/>
      <c r="G21" s="28"/>
      <c r="H21" s="28"/>
      <c r="I21" s="31"/>
      <c r="J21" s="31"/>
      <c r="K21" s="31"/>
      <c r="L21" s="31"/>
      <c r="M21" s="31"/>
      <c r="N21" s="31"/>
      <c r="O21" s="31"/>
      <c r="P21" s="31"/>
      <c r="Q21" s="31"/>
      <c r="R21" s="31"/>
      <c r="S21" s="31"/>
      <c r="T21" s="31"/>
      <c r="U21" s="73"/>
      <c r="V21" s="71"/>
      <c r="W21" s="50"/>
      <c r="X21" s="31"/>
      <c r="Y21" s="31"/>
      <c r="Z21" s="31"/>
      <c r="AA21" s="31"/>
      <c r="AB21" s="31"/>
      <c r="AC21" s="31"/>
      <c r="AD21" s="31"/>
      <c r="AE21" s="31"/>
      <c r="AF21" s="31"/>
      <c r="AG21" s="31"/>
      <c r="AH21" s="31"/>
      <c r="AI21" s="31"/>
      <c r="AJ21" s="73"/>
      <c r="AK21" s="71"/>
      <c r="AL21" s="71"/>
      <c r="AM21" s="40"/>
      <c r="AN21" s="40"/>
      <c r="AO21" s="40"/>
      <c r="AP21" s="40"/>
      <c r="AQ21" s="40"/>
      <c r="AR21" s="40"/>
      <c r="AS21" s="40"/>
      <c r="AT21" s="40"/>
      <c r="AU21" s="40"/>
      <c r="AV21" s="40"/>
      <c r="AW21" s="40"/>
      <c r="AX21" s="40"/>
      <c r="AY21" s="71"/>
      <c r="AZ21" s="36"/>
      <c r="BA21" s="11" t="s">
        <v>32</v>
      </c>
      <c r="BB21" s="11" t="s">
        <v>6</v>
      </c>
      <c r="BC21" s="11">
        <v>13</v>
      </c>
      <c r="BD21" s="42" t="s">
        <v>7</v>
      </c>
      <c r="BE21" s="42"/>
      <c r="BF21" s="42" t="s">
        <v>7</v>
      </c>
      <c r="BG21" s="42" t="s">
        <v>7</v>
      </c>
      <c r="BH21" s="11">
        <f t="shared" si="5"/>
        <v>1E-3</v>
      </c>
      <c r="BI21" s="42">
        <f t="shared" si="6"/>
        <v>0</v>
      </c>
      <c r="BJ21" s="206"/>
    </row>
    <row r="22" spans="1:62" x14ac:dyDescent="0.2">
      <c r="A22" s="206"/>
      <c r="B22" s="144" t="str">
        <f>IF(COUNT(B23:F26)&gt;1,"!! MORE THAN 1 UNIT SELECTED !!",IF(COUNT(B23:F26)=0,"!! NO UNIT SELECTED !!","THICKNESS, SECTION or VOLUME UNIT"))</f>
        <v>THICKNESS, SECTION or VOLUME UNIT</v>
      </c>
      <c r="C22" s="144"/>
      <c r="D22" s="144"/>
      <c r="E22" s="144"/>
      <c r="F22" s="144"/>
      <c r="G22" s="144"/>
      <c r="H22" s="28"/>
      <c r="I22" s="42" t="str">
        <f>CONCATENATE(I5," CONVERTER BUSINESS SIZE")</f>
        <v>REFERENCE CONVERTER BUSINESS SIZE</v>
      </c>
      <c r="J22" s="11"/>
      <c r="K22" s="11"/>
      <c r="L22" s="11"/>
      <c r="M22" s="9">
        <v>1</v>
      </c>
      <c r="N22" s="42" t="str">
        <f>VLOOKUP(1,J28:L30,2)</f>
        <v>KT</v>
      </c>
      <c r="O22" s="31"/>
      <c r="P22" s="31"/>
      <c r="Q22" s="31"/>
      <c r="R22" s="31"/>
      <c r="S22" s="31"/>
      <c r="T22" s="31"/>
      <c r="U22" s="73"/>
      <c r="V22" s="40"/>
      <c r="W22" s="35"/>
      <c r="X22" s="74" t="s">
        <v>54</v>
      </c>
      <c r="Y22" s="77"/>
      <c r="Z22" s="77"/>
      <c r="AA22" s="77"/>
      <c r="AB22" s="75">
        <v>1</v>
      </c>
      <c r="AC22" s="42"/>
      <c r="AD22" s="31"/>
      <c r="AE22" s="31"/>
      <c r="AF22" s="31"/>
      <c r="AG22" s="31"/>
      <c r="AH22" s="31"/>
      <c r="AI22" s="31"/>
      <c r="AJ22" s="73"/>
      <c r="AK22" s="13"/>
      <c r="AL22" s="13"/>
      <c r="AM22" s="121"/>
      <c r="AN22" s="79"/>
      <c r="AO22" s="79"/>
      <c r="AP22" s="79"/>
      <c r="AQ22" s="79"/>
      <c r="AR22" s="79"/>
      <c r="AS22" s="79"/>
      <c r="AT22" s="79"/>
      <c r="AU22" s="79"/>
      <c r="AV22" s="79"/>
      <c r="AW22" s="79"/>
      <c r="AX22" s="36"/>
      <c r="AY22" s="13"/>
      <c r="AZ22" s="36"/>
      <c r="BA22" s="11" t="s">
        <v>32</v>
      </c>
      <c r="BB22" s="11" t="s">
        <v>9</v>
      </c>
      <c r="BC22" s="11">
        <v>14</v>
      </c>
      <c r="BD22" s="42" t="s">
        <v>33</v>
      </c>
      <c r="BE22" s="11">
        <f>(25.4*0.001)^2*(0.3048)*1000</f>
        <v>0.19664476800000003</v>
      </c>
      <c r="BF22" s="42" t="s">
        <v>70</v>
      </c>
      <c r="BG22" s="42" t="s">
        <v>11</v>
      </c>
      <c r="BH22" s="11">
        <f t="shared" si="5"/>
        <v>1E-3</v>
      </c>
      <c r="BI22" s="42">
        <f t="shared" si="6"/>
        <v>1.9664476800000002E-4</v>
      </c>
      <c r="BJ22" s="206"/>
    </row>
    <row r="23" spans="1:62" x14ac:dyDescent="0.2">
      <c r="A23" s="206"/>
      <c r="B23" s="43">
        <v>1</v>
      </c>
      <c r="C23" s="11" t="s">
        <v>36</v>
      </c>
      <c r="D23" s="43"/>
      <c r="E23" s="11" t="s">
        <v>37</v>
      </c>
      <c r="F23" s="76"/>
      <c r="G23" s="11" t="s">
        <v>38</v>
      </c>
      <c r="H23" s="28"/>
      <c r="I23" s="42"/>
      <c r="J23" s="42"/>
      <c r="K23" s="42"/>
      <c r="L23" s="42"/>
      <c r="M23" s="42"/>
      <c r="N23" s="42"/>
      <c r="O23" s="31"/>
      <c r="P23" s="31"/>
      <c r="Q23" s="31"/>
      <c r="R23" s="31"/>
      <c r="S23" s="31"/>
      <c r="T23" s="31"/>
      <c r="U23" s="73"/>
      <c r="V23" s="36"/>
      <c r="W23" s="35"/>
      <c r="X23" s="74" t="str">
        <f>CONCATENATE(X5," BUSINESS SIZE")</f>
        <v>ALTERNATIVE BUSINESS SIZE</v>
      </c>
      <c r="Y23" s="122"/>
      <c r="Z23" s="122"/>
      <c r="AA23" s="122"/>
      <c r="AB23" s="77">
        <f>ROUND(M22*AB22,2)</f>
        <v>1</v>
      </c>
      <c r="AC23" s="74" t="str">
        <f>VLOOKUP(1,J28:L30,2)</f>
        <v>KT</v>
      </c>
      <c r="AD23" s="31"/>
      <c r="AE23" s="31"/>
      <c r="AF23" s="31"/>
      <c r="AG23" s="31"/>
      <c r="AH23" s="31"/>
      <c r="AI23" s="31"/>
      <c r="AJ23" s="73"/>
      <c r="AK23" s="13"/>
      <c r="AL23" s="13"/>
      <c r="AM23" s="78"/>
      <c r="AN23" s="33"/>
      <c r="AO23" s="33"/>
      <c r="AP23" s="33"/>
      <c r="AQ23" s="33"/>
      <c r="AR23" s="33"/>
      <c r="AS23" s="33"/>
      <c r="AT23" s="33"/>
      <c r="AU23" s="33"/>
      <c r="AV23" s="33"/>
      <c r="AW23" s="33"/>
      <c r="AX23" s="79"/>
      <c r="AY23" s="80"/>
      <c r="AZ23" s="36"/>
      <c r="BA23" s="11" t="s">
        <v>32</v>
      </c>
      <c r="BB23" s="11" t="s">
        <v>12</v>
      </c>
      <c r="BC23" s="11">
        <v>15</v>
      </c>
      <c r="BD23" s="42" t="s">
        <v>34</v>
      </c>
      <c r="BE23" s="11">
        <f>(25.4*0.001)*(0.3048)^2*1000</f>
        <v>2.3597372160000001</v>
      </c>
      <c r="BF23" s="42" t="s">
        <v>69</v>
      </c>
      <c r="BG23" s="42" t="s">
        <v>14</v>
      </c>
      <c r="BH23" s="11">
        <f t="shared" si="5"/>
        <v>1E-3</v>
      </c>
      <c r="BI23" s="42">
        <f t="shared" si="6"/>
        <v>2.3597372160000002E-3</v>
      </c>
      <c r="BJ23" s="206"/>
    </row>
    <row r="24" spans="1:62" x14ac:dyDescent="0.2">
      <c r="A24" s="206"/>
      <c r="B24" s="53"/>
      <c r="C24" s="11" t="s">
        <v>39</v>
      </c>
      <c r="D24" s="53"/>
      <c r="E24" s="11" t="s">
        <v>40</v>
      </c>
      <c r="F24" s="11"/>
      <c r="G24" s="11"/>
      <c r="H24" s="28"/>
      <c r="I24" s="42" t="str">
        <f>CONCATENATE(I5," CONVERTER SALES PRICE")</f>
        <v>REFERENCE CONVERTER SALES PRICE</v>
      </c>
      <c r="J24" s="11"/>
      <c r="K24" s="11"/>
      <c r="L24" s="11"/>
      <c r="M24" s="9">
        <v>1500</v>
      </c>
      <c r="N24" s="42" t="str">
        <f>F8</f>
        <v>$/TON</v>
      </c>
      <c r="O24" s="31"/>
      <c r="P24" s="31"/>
      <c r="Q24" s="31"/>
      <c r="R24" s="31"/>
      <c r="S24" s="31"/>
      <c r="T24" s="31"/>
      <c r="U24" s="73"/>
      <c r="V24" s="13"/>
      <c r="W24" s="28"/>
      <c r="X24" s="42" t="str">
        <f>CONCATENATE(BC6,"  REDUCTION vs. ",I5)</f>
        <v>THICKNESS  REDUCTION vs. REFERENCE</v>
      </c>
      <c r="Y24" s="11"/>
      <c r="Z24" s="11"/>
      <c r="AA24" s="11"/>
      <c r="AB24" s="48">
        <f>($U6-AJ6)/$U6</f>
        <v>0.25</v>
      </c>
      <c r="AC24" s="42"/>
      <c r="AD24" s="31"/>
      <c r="AE24" s="31"/>
      <c r="AF24" s="31"/>
      <c r="AG24" s="31"/>
      <c r="AH24" s="31"/>
      <c r="AI24" s="31"/>
      <c r="AJ24" s="73"/>
      <c r="AK24" s="40"/>
      <c r="AL24" s="40"/>
      <c r="AM24" s="40"/>
      <c r="AN24" s="79"/>
      <c r="AO24" s="79"/>
      <c r="AP24" s="79"/>
      <c r="AQ24" s="79"/>
      <c r="AR24" s="79"/>
      <c r="AS24" s="79"/>
      <c r="AT24" s="79"/>
      <c r="AU24" s="79"/>
      <c r="AV24" s="79"/>
      <c r="AW24" s="79"/>
      <c r="AX24" s="79"/>
      <c r="AY24" s="13"/>
      <c r="AZ24" s="36"/>
      <c r="BA24" s="11" t="s">
        <v>32</v>
      </c>
      <c r="BB24" s="11" t="s">
        <v>15</v>
      </c>
      <c r="BC24" s="11">
        <v>16</v>
      </c>
      <c r="BD24" s="42" t="s">
        <v>35</v>
      </c>
      <c r="BE24" s="11">
        <v>3.7854000000000001</v>
      </c>
      <c r="BF24" s="42" t="s">
        <v>79</v>
      </c>
      <c r="BG24" s="42" t="s">
        <v>15</v>
      </c>
      <c r="BH24" s="11">
        <f t="shared" si="5"/>
        <v>1E-3</v>
      </c>
      <c r="BI24" s="42">
        <f t="shared" si="6"/>
        <v>3.7854E-3</v>
      </c>
      <c r="BJ24" s="206"/>
    </row>
    <row r="25" spans="1:62" x14ac:dyDescent="0.2">
      <c r="A25" s="206"/>
      <c r="B25" s="43"/>
      <c r="C25" s="11" t="s">
        <v>20</v>
      </c>
      <c r="D25" s="43"/>
      <c r="E25" s="11" t="s">
        <v>19</v>
      </c>
      <c r="F25" s="76"/>
      <c r="G25" s="11" t="s">
        <v>42</v>
      </c>
      <c r="H25" s="28"/>
      <c r="I25" s="42" t="s">
        <v>76</v>
      </c>
      <c r="J25" s="11"/>
      <c r="K25" s="11"/>
      <c r="L25" s="11"/>
      <c r="M25" s="48">
        <f>M24/K36</f>
        <v>1.2345679012345678</v>
      </c>
      <c r="N25" s="42"/>
      <c r="O25" s="31"/>
      <c r="P25" s="31"/>
      <c r="Q25" s="31"/>
      <c r="R25" s="31"/>
      <c r="S25" s="31"/>
      <c r="T25" s="31"/>
      <c r="U25" s="73"/>
      <c r="V25" s="34"/>
      <c r="W25" s="29"/>
      <c r="X25" s="42" t="str">
        <f>CONCATENATE("PERFORMANCE vs. ",I5)</f>
        <v>PERFORMANCE vs. REFERENCE</v>
      </c>
      <c r="Y25" s="11"/>
      <c r="Z25" s="11"/>
      <c r="AA25" s="11"/>
      <c r="AB25" s="75">
        <v>1</v>
      </c>
      <c r="AC25" s="42"/>
      <c r="AD25" s="31"/>
      <c r="AE25" s="31"/>
      <c r="AF25" s="31"/>
      <c r="AG25" s="31"/>
      <c r="AH25" s="31"/>
      <c r="AI25" s="31"/>
      <c r="AJ25" s="73"/>
      <c r="AK25" s="13"/>
      <c r="AL25" s="13"/>
      <c r="AM25" s="34"/>
      <c r="AN25" s="13"/>
      <c r="AO25" s="13"/>
      <c r="AP25" s="13"/>
      <c r="AQ25" s="13"/>
      <c r="AR25" s="13"/>
      <c r="AS25" s="13"/>
      <c r="AT25" s="13"/>
      <c r="AU25" s="13"/>
      <c r="AV25" s="13"/>
      <c r="AW25" s="13"/>
      <c r="AX25" s="36"/>
      <c r="AY25" s="13"/>
      <c r="AZ25" s="13"/>
      <c r="BA25" s="11" t="s">
        <v>32</v>
      </c>
      <c r="BB25" s="11" t="s">
        <v>19</v>
      </c>
      <c r="BC25" s="11">
        <v>17</v>
      </c>
      <c r="BD25" s="42" t="s">
        <v>33</v>
      </c>
      <c r="BE25" s="11">
        <f>(25.4*0.000001)^2*(0.3048)*1000</f>
        <v>1.9664476799999998E-7</v>
      </c>
      <c r="BF25" s="42" t="s">
        <v>70</v>
      </c>
      <c r="BG25" s="42" t="s">
        <v>11</v>
      </c>
      <c r="BH25" s="11">
        <f t="shared" si="5"/>
        <v>1E-3</v>
      </c>
      <c r="BI25" s="42">
        <f t="shared" si="6"/>
        <v>1.9664476799999999E-10</v>
      </c>
      <c r="BJ25" s="206"/>
    </row>
    <row r="26" spans="1:62" x14ac:dyDescent="0.2">
      <c r="A26" s="206"/>
      <c r="B26" s="58"/>
      <c r="C26" s="11" t="s">
        <v>44</v>
      </c>
      <c r="D26" s="58"/>
      <c r="E26" s="11" t="s">
        <v>45</v>
      </c>
      <c r="F26" s="11"/>
      <c r="G26" s="11"/>
      <c r="H26" s="28"/>
      <c r="I26" s="42" t="s">
        <v>50</v>
      </c>
      <c r="J26" s="11"/>
      <c r="K26" s="11"/>
      <c r="L26" s="11"/>
      <c r="M26" s="81">
        <v>30</v>
      </c>
      <c r="N26" s="42" t="s">
        <v>49</v>
      </c>
      <c r="O26" s="31"/>
      <c r="P26" s="31"/>
      <c r="Q26" s="31"/>
      <c r="R26" s="31"/>
      <c r="S26" s="31"/>
      <c r="T26" s="31"/>
      <c r="U26" s="73"/>
      <c r="V26" s="13"/>
      <c r="W26" s="28"/>
      <c r="X26" s="28"/>
      <c r="Y26" s="28"/>
      <c r="Z26" s="28"/>
      <c r="AA26" s="28"/>
      <c r="AB26" s="28"/>
      <c r="AC26" s="28"/>
      <c r="AD26" s="28"/>
      <c r="AE26" s="31"/>
      <c r="AF26" s="31"/>
      <c r="AG26" s="31"/>
      <c r="AH26" s="31"/>
      <c r="AI26" s="31"/>
      <c r="AJ26" s="73"/>
      <c r="AK26" s="34"/>
      <c r="AL26" s="34"/>
      <c r="AM26" s="40"/>
      <c r="AN26" s="10"/>
      <c r="AO26" s="10"/>
      <c r="AP26" s="10"/>
      <c r="AQ26" s="10"/>
      <c r="AR26" s="10"/>
      <c r="AS26" s="10"/>
      <c r="AT26" s="10"/>
      <c r="AU26" s="10"/>
      <c r="AV26" s="10"/>
      <c r="AW26" s="10"/>
      <c r="AX26" s="36"/>
      <c r="AY26" s="13"/>
      <c r="AZ26" s="13"/>
      <c r="BA26" s="11" t="s">
        <v>32</v>
      </c>
      <c r="BB26" s="11" t="s">
        <v>20</v>
      </c>
      <c r="BC26" s="11">
        <v>18</v>
      </c>
      <c r="BD26" s="42" t="s">
        <v>34</v>
      </c>
      <c r="BE26" s="62">
        <f>(25.4*0.000001)*(0.3048)^2*1000</f>
        <v>2.3597372159999998E-3</v>
      </c>
      <c r="BF26" s="42" t="s">
        <v>69</v>
      </c>
      <c r="BG26" s="42" t="s">
        <v>14</v>
      </c>
      <c r="BH26" s="11">
        <f t="shared" si="5"/>
        <v>1E-3</v>
      </c>
      <c r="BI26" s="42">
        <f t="shared" si="6"/>
        <v>2.3597372159999999E-6</v>
      </c>
      <c r="BJ26" s="206"/>
    </row>
    <row r="27" spans="1:62" x14ac:dyDescent="0.2">
      <c r="A27" s="206"/>
      <c r="B27" s="28"/>
      <c r="C27" s="28"/>
      <c r="D27" s="28"/>
      <c r="E27" s="28"/>
      <c r="F27" s="28"/>
      <c r="G27" s="28"/>
      <c r="H27" s="28"/>
      <c r="I27" s="42" t="str">
        <f>CONCATENATE(I5," LOGISTICS COSTS")</f>
        <v>REFERENCE LOGISTICS COSTS</v>
      </c>
      <c r="J27" s="11"/>
      <c r="K27" s="11"/>
      <c r="L27" s="11"/>
      <c r="M27" s="63">
        <v>100</v>
      </c>
      <c r="N27" s="42" t="str">
        <f>F8</f>
        <v>$/TON</v>
      </c>
      <c r="O27" s="31"/>
      <c r="P27" s="31"/>
      <c r="Q27" s="31"/>
      <c r="R27" s="31"/>
      <c r="S27" s="31"/>
      <c r="T27" s="31"/>
      <c r="U27" s="73"/>
      <c r="V27" s="13"/>
      <c r="W27" s="28"/>
      <c r="X27" s="28"/>
      <c r="Y27" s="28"/>
      <c r="Z27" s="28"/>
      <c r="AA27" s="28"/>
      <c r="AB27" s="28"/>
      <c r="AC27" s="28"/>
      <c r="AD27" s="28"/>
      <c r="AE27" s="31"/>
      <c r="AF27" s="31"/>
      <c r="AG27" s="31"/>
      <c r="AH27" s="31"/>
      <c r="AI27" s="31"/>
      <c r="AJ27" s="73"/>
      <c r="AK27" s="13"/>
      <c r="AL27" s="13"/>
      <c r="AM27" s="32"/>
      <c r="AN27" s="32"/>
      <c r="AO27" s="32"/>
      <c r="AP27" s="32"/>
      <c r="AQ27" s="32"/>
      <c r="AR27" s="32"/>
      <c r="AS27" s="32"/>
      <c r="AT27" s="32"/>
      <c r="AU27" s="32"/>
      <c r="AV27" s="32"/>
      <c r="AW27" s="32"/>
      <c r="AX27" s="32"/>
      <c r="AY27" s="32"/>
      <c r="AZ27" s="13"/>
      <c r="BA27" s="11" t="s">
        <v>32</v>
      </c>
      <c r="BB27" s="11" t="s">
        <v>6</v>
      </c>
      <c r="BC27" s="11">
        <v>19</v>
      </c>
      <c r="BD27" s="11" t="s">
        <v>7</v>
      </c>
      <c r="BE27" s="42"/>
      <c r="BF27" s="11" t="s">
        <v>7</v>
      </c>
      <c r="BG27" s="11" t="s">
        <v>7</v>
      </c>
      <c r="BH27" s="11">
        <f t="shared" si="5"/>
        <v>1E-3</v>
      </c>
      <c r="BI27" s="42">
        <f t="shared" si="6"/>
        <v>0</v>
      </c>
      <c r="BJ27" s="206"/>
    </row>
    <row r="28" spans="1:62" hidden="1" x14ac:dyDescent="0.2">
      <c r="A28" s="206"/>
      <c r="B28" s="13"/>
      <c r="C28" s="13"/>
      <c r="D28" s="13"/>
      <c r="E28" s="13"/>
      <c r="F28" s="13"/>
      <c r="G28" s="13"/>
      <c r="H28" s="13"/>
      <c r="I28" s="10"/>
      <c r="J28" s="11" t="str">
        <f>IF(B9="","",B9)</f>
        <v/>
      </c>
      <c r="K28" s="11" t="s">
        <v>47</v>
      </c>
      <c r="L28" s="11">
        <v>1</v>
      </c>
      <c r="M28" s="11" t="str">
        <f>CONCATENATE("M",B6)</f>
        <v>M$</v>
      </c>
      <c r="N28" s="11"/>
      <c r="O28" s="34"/>
      <c r="P28" s="34"/>
      <c r="Q28" s="34"/>
      <c r="R28" s="34"/>
      <c r="S28" s="34"/>
      <c r="T28" s="34"/>
      <c r="U28" s="34"/>
      <c r="V28" s="34"/>
      <c r="W28" s="34"/>
      <c r="X28" s="36"/>
      <c r="Y28" s="36"/>
      <c r="Z28" s="36"/>
      <c r="AA28" s="36"/>
      <c r="AB28" s="36"/>
      <c r="AC28" s="36"/>
      <c r="AD28" s="36"/>
      <c r="AE28" s="36"/>
      <c r="AF28" s="36"/>
      <c r="AG28" s="36"/>
      <c r="AH28" s="36"/>
      <c r="AI28" s="36"/>
      <c r="AJ28" s="36"/>
      <c r="AK28" s="36"/>
      <c r="AL28" s="36"/>
      <c r="AM28" s="13"/>
      <c r="AN28" s="13"/>
      <c r="AO28" s="13"/>
      <c r="AP28" s="13"/>
      <c r="AQ28" s="13"/>
      <c r="AR28" s="13"/>
      <c r="AS28" s="13"/>
      <c r="AT28" s="13"/>
      <c r="AU28" s="13"/>
      <c r="AV28" s="13"/>
      <c r="AW28" s="13"/>
      <c r="AX28" s="13"/>
      <c r="AY28" s="13"/>
      <c r="AZ28" s="13"/>
      <c r="BA28" s="11" t="s">
        <v>32</v>
      </c>
      <c r="BB28" s="11" t="s">
        <v>21</v>
      </c>
      <c r="BC28" s="11">
        <v>20</v>
      </c>
      <c r="BD28" s="42" t="s">
        <v>41</v>
      </c>
      <c r="BE28" s="83">
        <f>(0.001)^2*1000</f>
        <v>1E-3</v>
      </c>
      <c r="BF28" s="42" t="s">
        <v>75</v>
      </c>
      <c r="BG28" s="42" t="s">
        <v>23</v>
      </c>
      <c r="BH28" s="11">
        <f t="shared" si="5"/>
        <v>1E-3</v>
      </c>
      <c r="BI28" s="42">
        <f t="shared" si="6"/>
        <v>9.9999999999999995E-7</v>
      </c>
      <c r="BJ28" s="206"/>
    </row>
    <row r="29" spans="1:62" hidden="1" x14ac:dyDescent="0.2">
      <c r="A29" s="206"/>
      <c r="B29" s="13"/>
      <c r="C29" s="13"/>
      <c r="D29" s="13"/>
      <c r="E29" s="13"/>
      <c r="F29" s="13"/>
      <c r="G29" s="13"/>
      <c r="H29" s="13"/>
      <c r="I29" s="10"/>
      <c r="J29" s="11">
        <f>IF(B10="","",B10)</f>
        <v>1</v>
      </c>
      <c r="K29" s="11" t="s">
        <v>47</v>
      </c>
      <c r="L29" s="11">
        <v>1000</v>
      </c>
      <c r="M29" s="11" t="str">
        <f>CONCATENATE("M",B6)</f>
        <v>M$</v>
      </c>
      <c r="N29" s="11"/>
      <c r="O29" s="13"/>
      <c r="P29" s="13"/>
      <c r="Q29" s="13"/>
      <c r="R29" s="13"/>
      <c r="S29" s="13"/>
      <c r="T29" s="13"/>
      <c r="U29" s="13"/>
      <c r="V29" s="13"/>
      <c r="W29" s="13"/>
      <c r="X29" s="123" t="s">
        <v>67</v>
      </c>
      <c r="Y29" s="36"/>
      <c r="Z29" s="20">
        <f>IF($C$13&lt;&gt;1,SUMPRODUCT(F9:F19,G9:G19,U9:U19)*U6*AK29,SUMPRODUCT(F9:F19,U9:U19)*U6*K34*AK29)</f>
        <v>0.11304930919837461</v>
      </c>
      <c r="AA29" s="107" t="str">
        <f>AC29</f>
        <v>$ per sq m</v>
      </c>
      <c r="AB29" s="108">
        <f>IF($C13&lt;&gt;1,(SUMPRODUCT($F9:$F18,$G9:$G18,AJ9:AJ18)+$G19*AJ19*$F19)*AJ6*AK29,(SUMPRODUCT($F9:$F18,AJ9:AJ18)+AJ19*$F19)*M34*AJ6*AK29)</f>
        <v>8.6987757984775968E-2</v>
      </c>
      <c r="AC29" s="107" t="str">
        <f>CONCATENATE(B6," per ",LOOKUP(BA6,BC9:BC32,BG9:BG32))</f>
        <v>$ per sq m</v>
      </c>
      <c r="AD29" s="36"/>
      <c r="AE29" s="36"/>
      <c r="AF29" s="36"/>
      <c r="AG29" s="36"/>
      <c r="AH29" s="36"/>
      <c r="AI29" s="36"/>
      <c r="AJ29" s="36"/>
      <c r="AK29" s="26">
        <f>LOOKUP(BA6,BC9:BC32,BI9:BI32)</f>
        <v>9.9999999999999995E-7</v>
      </c>
      <c r="AL29" s="13"/>
      <c r="AM29" s="10"/>
      <c r="AN29" s="10"/>
      <c r="AO29" s="10"/>
      <c r="AP29" s="10"/>
      <c r="AQ29" s="10"/>
      <c r="AR29" s="10"/>
      <c r="AS29" s="10"/>
      <c r="AT29" s="10"/>
      <c r="AU29" s="10"/>
      <c r="AV29" s="10"/>
      <c r="AW29" s="10"/>
      <c r="AX29" s="10"/>
      <c r="AY29" s="36"/>
      <c r="AZ29" s="13"/>
      <c r="BA29" s="11" t="s">
        <v>32</v>
      </c>
      <c r="BB29" s="11" t="s">
        <v>24</v>
      </c>
      <c r="BC29" s="11">
        <v>21</v>
      </c>
      <c r="BD29" s="42" t="s">
        <v>43</v>
      </c>
      <c r="BE29" s="83">
        <f>(0.001)*1000</f>
        <v>1</v>
      </c>
      <c r="BF29" s="42" t="s">
        <v>68</v>
      </c>
      <c r="BG29" s="42" t="s">
        <v>26</v>
      </c>
      <c r="BH29" s="11">
        <f t="shared" si="5"/>
        <v>1E-3</v>
      </c>
      <c r="BI29" s="42">
        <f t="shared" si="6"/>
        <v>1E-3</v>
      </c>
      <c r="BJ29" s="206"/>
    </row>
    <row r="30" spans="1:62" hidden="1" x14ac:dyDescent="0.2">
      <c r="A30" s="206"/>
      <c r="B30" s="13"/>
      <c r="C30" s="13"/>
      <c r="D30" s="13"/>
      <c r="E30" s="13"/>
      <c r="F30" s="13"/>
      <c r="G30" s="13"/>
      <c r="H30" s="13"/>
      <c r="I30" s="10"/>
      <c r="J30" s="11" t="str">
        <f>IF(B11="","",B11)</f>
        <v/>
      </c>
      <c r="K30" s="11" t="s">
        <v>48</v>
      </c>
      <c r="L30" s="11">
        <v>1</v>
      </c>
      <c r="M30" s="11" t="str">
        <f>CONCATENATE("M",B6)</f>
        <v>M$</v>
      </c>
      <c r="N30" s="11"/>
      <c r="O30" s="10"/>
      <c r="P30" s="10"/>
      <c r="Q30" s="10"/>
      <c r="R30" s="10"/>
      <c r="S30" s="10"/>
      <c r="T30" s="10"/>
      <c r="U30" s="10"/>
      <c r="V30" s="10"/>
      <c r="W30" s="13"/>
      <c r="X30" s="10"/>
      <c r="Y30" s="10"/>
      <c r="Z30" s="88">
        <f>M22</f>
        <v>1</v>
      </c>
      <c r="AA30" s="10"/>
      <c r="AB30" s="10"/>
      <c r="AC30" s="10"/>
      <c r="AD30" s="10"/>
      <c r="AE30" s="10"/>
      <c r="AF30" s="10"/>
      <c r="AG30" s="10"/>
      <c r="AH30" s="10"/>
      <c r="AI30" s="10"/>
      <c r="AJ30" s="88">
        <f>M22*(1-AB24)*(M34/K34)</f>
        <v>0.74792231249138763</v>
      </c>
      <c r="AK30" s="10"/>
      <c r="AL30" s="10"/>
      <c r="AM30" s="40"/>
      <c r="AN30" s="40"/>
      <c r="AO30" s="40"/>
      <c r="AP30" s="40"/>
      <c r="AQ30" s="40"/>
      <c r="AR30" s="40"/>
      <c r="AS30" s="40"/>
      <c r="AT30" s="40"/>
      <c r="AU30" s="40"/>
      <c r="AV30" s="40"/>
      <c r="AW30" s="40"/>
      <c r="AX30" s="40"/>
      <c r="AY30" s="36"/>
      <c r="AZ30" s="13"/>
      <c r="BA30" s="11" t="s">
        <v>32</v>
      </c>
      <c r="BB30" s="11" t="s">
        <v>27</v>
      </c>
      <c r="BC30" s="11">
        <v>22</v>
      </c>
      <c r="BD30" s="42" t="s">
        <v>46</v>
      </c>
      <c r="BE30" s="42">
        <v>1</v>
      </c>
      <c r="BF30" s="42" t="s">
        <v>80</v>
      </c>
      <c r="BG30" s="42" t="s">
        <v>29</v>
      </c>
      <c r="BH30" s="11">
        <f t="shared" si="5"/>
        <v>1E-3</v>
      </c>
      <c r="BI30" s="42">
        <f t="shared" si="6"/>
        <v>1E-3</v>
      </c>
      <c r="BJ30" s="206"/>
    </row>
    <row r="31" spans="1:62" ht="3" customHeight="1" thickBot="1" x14ac:dyDescent="0.25">
      <c r="A31" s="206"/>
      <c r="B31" s="28"/>
      <c r="C31" s="28"/>
      <c r="D31" s="28"/>
      <c r="E31" s="28"/>
      <c r="F31" s="28"/>
      <c r="G31" s="28"/>
      <c r="H31" s="28"/>
      <c r="I31" s="1"/>
      <c r="J31" s="1"/>
      <c r="K31" s="1"/>
      <c r="L31" s="1"/>
      <c r="M31" s="1"/>
      <c r="N31" s="1"/>
      <c r="O31" s="31"/>
      <c r="P31" s="31"/>
      <c r="Q31" s="31"/>
      <c r="R31" s="31"/>
      <c r="S31" s="31"/>
      <c r="T31" s="31"/>
      <c r="U31" s="73"/>
      <c r="V31" s="40"/>
      <c r="W31" s="28"/>
      <c r="X31" s="28"/>
      <c r="Y31" s="28"/>
      <c r="Z31" s="28"/>
      <c r="AA31" s="28"/>
      <c r="AB31" s="28"/>
      <c r="AC31" s="28"/>
      <c r="AD31" s="28"/>
      <c r="AE31" s="28"/>
      <c r="AF31" s="28"/>
      <c r="AG31" s="28"/>
      <c r="AH31" s="28"/>
      <c r="AI31" s="28"/>
      <c r="AJ31" s="28"/>
      <c r="AK31" s="10"/>
      <c r="AL31" s="10"/>
      <c r="AM31" s="40"/>
      <c r="AN31" s="40"/>
      <c r="AO31" s="40"/>
      <c r="AP31" s="40"/>
      <c r="AQ31" s="40"/>
      <c r="AR31" s="40"/>
      <c r="AS31" s="40"/>
      <c r="AT31" s="40"/>
      <c r="AU31" s="40"/>
      <c r="AV31" s="40"/>
      <c r="AW31" s="40"/>
      <c r="AX31" s="40"/>
      <c r="AY31" s="36"/>
      <c r="AZ31" s="36"/>
      <c r="BA31" s="11" t="s">
        <v>32</v>
      </c>
      <c r="BB31" s="11" t="s">
        <v>30</v>
      </c>
      <c r="BC31" s="11">
        <v>23</v>
      </c>
      <c r="BD31" s="42" t="s">
        <v>41</v>
      </c>
      <c r="BE31" s="83">
        <f>(0.000001)^2*1000</f>
        <v>1.0000000000000001E-9</v>
      </c>
      <c r="BF31" s="42" t="s">
        <v>75</v>
      </c>
      <c r="BG31" s="42" t="s">
        <v>23</v>
      </c>
      <c r="BH31" s="11">
        <f t="shared" si="5"/>
        <v>1E-3</v>
      </c>
      <c r="BI31" s="42">
        <f t="shared" si="6"/>
        <v>1.0000000000000002E-12</v>
      </c>
      <c r="BJ31" s="206"/>
    </row>
    <row r="32" spans="1:62" ht="13.5" thickTop="1" x14ac:dyDescent="0.2">
      <c r="A32" s="206"/>
      <c r="B32" s="28"/>
      <c r="C32" s="28"/>
      <c r="D32" s="28"/>
      <c r="E32" s="28"/>
      <c r="F32" s="28"/>
      <c r="G32" s="28"/>
      <c r="H32" s="28"/>
      <c r="I32" s="138" t="s">
        <v>51</v>
      </c>
      <c r="J32" s="138"/>
      <c r="K32" s="139" t="str">
        <f>I5</f>
        <v>REFERENCE</v>
      </c>
      <c r="L32" s="140"/>
      <c r="M32" s="138" t="str">
        <f>X5</f>
        <v>ALTERNATIVE</v>
      </c>
      <c r="N32" s="138"/>
      <c r="O32" s="28"/>
      <c r="P32" s="31"/>
      <c r="Q32" s="31"/>
      <c r="R32" s="31"/>
      <c r="S32" s="31"/>
      <c r="T32" s="31"/>
      <c r="U32" s="73"/>
      <c r="V32" s="40"/>
      <c r="W32" s="28"/>
      <c r="X32" s="28"/>
      <c r="Y32" s="28"/>
      <c r="Z32" s="28"/>
      <c r="AA32" s="28"/>
      <c r="AB32" s="28"/>
      <c r="AC32" s="28"/>
      <c r="AD32" s="28"/>
      <c r="AE32" s="28"/>
      <c r="AF32" s="28"/>
      <c r="AG32" s="28"/>
      <c r="AH32" s="28"/>
      <c r="AI32" s="28"/>
      <c r="AJ32" s="28"/>
      <c r="AK32" s="84"/>
      <c r="AL32" s="84"/>
      <c r="AM32" s="84"/>
      <c r="AN32" s="84"/>
      <c r="AO32" s="84"/>
      <c r="AP32" s="84"/>
      <c r="AQ32" s="84"/>
      <c r="AR32" s="84"/>
      <c r="AS32" s="84"/>
      <c r="AT32" s="84"/>
      <c r="AU32" s="84"/>
      <c r="AV32" s="84"/>
      <c r="AW32" s="84"/>
      <c r="AX32" s="84"/>
      <c r="AY32" s="84"/>
      <c r="AZ32" s="84"/>
      <c r="BA32" s="11" t="s">
        <v>32</v>
      </c>
      <c r="BB32" s="11" t="s">
        <v>31</v>
      </c>
      <c r="BC32" s="11">
        <v>24</v>
      </c>
      <c r="BD32" s="42" t="s">
        <v>43</v>
      </c>
      <c r="BE32" s="83">
        <f>0.000001*1000</f>
        <v>1E-3</v>
      </c>
      <c r="BF32" s="42" t="s">
        <v>68</v>
      </c>
      <c r="BG32" s="42" t="s">
        <v>26</v>
      </c>
      <c r="BH32" s="11">
        <f t="shared" si="5"/>
        <v>1E-3</v>
      </c>
      <c r="BI32" s="42">
        <f t="shared" si="6"/>
        <v>9.9999999999999995E-7</v>
      </c>
      <c r="BJ32" s="206"/>
    </row>
    <row r="33" spans="1:62" x14ac:dyDescent="0.2">
      <c r="A33" s="206"/>
      <c r="B33" s="28"/>
      <c r="C33" s="28"/>
      <c r="D33" s="28"/>
      <c r="E33" s="28"/>
      <c r="F33" s="28"/>
      <c r="G33" s="28"/>
      <c r="H33" s="28"/>
      <c r="I33" s="132" t="str">
        <f>CONCATENATE(B6," per 1000 ",LOOKUP(BA6,BC9:BC32,BG9:BG32))</f>
        <v>$ per 1000 sq m</v>
      </c>
      <c r="J33" s="133"/>
      <c r="K33" s="134">
        <f>Z29*1000</f>
        <v>113.04930919837462</v>
      </c>
      <c r="L33" s="141"/>
      <c r="M33" s="136">
        <f>AB29*1000</f>
        <v>86.987757984775968</v>
      </c>
      <c r="N33" s="132"/>
      <c r="O33" s="28"/>
      <c r="P33" s="31"/>
      <c r="Q33" s="31"/>
      <c r="R33" s="31"/>
      <c r="S33" s="31"/>
      <c r="T33" s="31"/>
      <c r="U33" s="73"/>
      <c r="V33" s="40"/>
      <c r="W33" s="31"/>
      <c r="X33" s="31"/>
      <c r="Y33" s="31"/>
      <c r="Z33" s="31"/>
      <c r="AA33" s="31"/>
      <c r="AB33" s="31"/>
      <c r="AC33" s="31"/>
      <c r="AD33" s="31"/>
      <c r="AE33" s="31"/>
      <c r="AF33" s="31"/>
      <c r="AG33" s="31"/>
      <c r="AH33" s="31"/>
      <c r="AI33" s="31"/>
      <c r="AJ33" s="31"/>
      <c r="AK33" s="84"/>
      <c r="AL33" s="85"/>
      <c r="AM33" s="85"/>
      <c r="AN33" s="85"/>
      <c r="AO33" s="85"/>
      <c r="AP33" s="85"/>
      <c r="AQ33" s="85"/>
      <c r="AR33" s="85"/>
      <c r="AS33" s="85"/>
      <c r="AT33" s="85"/>
      <c r="AU33" s="85"/>
      <c r="AV33" s="85"/>
      <c r="AW33" s="85"/>
      <c r="AX33" s="85"/>
      <c r="AY33" s="85"/>
      <c r="AZ33" s="85"/>
      <c r="BA33" s="36"/>
      <c r="BB33" s="36"/>
      <c r="BC33" s="36"/>
      <c r="BD33" s="36"/>
      <c r="BE33" s="36"/>
      <c r="BF33" s="36"/>
      <c r="BG33" s="36"/>
      <c r="BH33" s="36"/>
      <c r="BI33" s="36"/>
      <c r="BJ33" s="206"/>
    </row>
    <row r="34" spans="1:62" x14ac:dyDescent="0.2">
      <c r="A34" s="206"/>
      <c r="B34" s="28"/>
      <c r="C34" s="28"/>
      <c r="D34" s="28"/>
      <c r="E34" s="28"/>
      <c r="F34" s="28"/>
      <c r="G34" s="28"/>
      <c r="H34" s="28"/>
      <c r="I34" s="132" t="s">
        <v>59</v>
      </c>
      <c r="J34" s="133"/>
      <c r="K34" s="135">
        <f>IF($C$13&lt;&gt;1,SUM(V9:V19),1/SUM(V9:V19))</f>
        <v>0.93044698928703384</v>
      </c>
      <c r="L34" s="141"/>
      <c r="M34" s="137">
        <f>IF($C$13&lt;&gt;1,SUM(AK9:AK19),1/SUM(AK9:AK19))</f>
        <v>0.92786941850427695</v>
      </c>
      <c r="N34" s="132"/>
      <c r="O34" s="28"/>
      <c r="P34" s="31"/>
      <c r="Q34" s="31"/>
      <c r="R34" s="31"/>
      <c r="S34" s="31"/>
      <c r="T34" s="31"/>
      <c r="U34" s="73"/>
      <c r="V34" s="40"/>
      <c r="W34" s="86"/>
      <c r="X34" s="129" t="str">
        <f>CONCATENATE("EXAMPLE SALES PRICE for ",X5)</f>
        <v>EXAMPLE SALES PRICE for ALTERNATIVE</v>
      </c>
      <c r="Y34" s="129"/>
      <c r="Z34" s="129"/>
      <c r="AA34" s="129"/>
      <c r="AB34" s="9">
        <v>1750</v>
      </c>
      <c r="AC34" s="42" t="str">
        <f>F8</f>
        <v>$/TON</v>
      </c>
      <c r="AD34" s="86"/>
      <c r="AE34" s="86"/>
      <c r="AF34" s="86"/>
      <c r="AG34" s="86"/>
      <c r="AH34" s="86"/>
      <c r="AI34" s="86"/>
      <c r="AJ34" s="86"/>
      <c r="AK34" s="84"/>
      <c r="AL34" s="85"/>
      <c r="AM34" s="85"/>
      <c r="AN34" s="85"/>
      <c r="AO34" s="85"/>
      <c r="AP34" s="85"/>
      <c r="AQ34" s="85"/>
      <c r="AR34" s="85"/>
      <c r="AS34" s="85"/>
      <c r="AT34" s="85"/>
      <c r="AU34" s="85"/>
      <c r="AV34" s="85"/>
      <c r="AW34" s="85"/>
      <c r="AX34" s="85"/>
      <c r="AY34" s="85"/>
      <c r="AZ34" s="85"/>
      <c r="BA34" s="10"/>
      <c r="BB34" s="79"/>
      <c r="BC34" s="79"/>
      <c r="BD34" s="79"/>
      <c r="BE34" s="79"/>
      <c r="BF34" s="79"/>
      <c r="BG34" s="79"/>
      <c r="BH34" s="79"/>
      <c r="BI34" s="36"/>
      <c r="BJ34" s="206"/>
    </row>
    <row r="35" spans="1:62" x14ac:dyDescent="0.2">
      <c r="A35" s="206"/>
      <c r="B35" s="28"/>
      <c r="C35" s="28"/>
      <c r="D35" s="28"/>
      <c r="E35" s="28"/>
      <c r="F35" s="28"/>
      <c r="G35" s="28"/>
      <c r="H35" s="28"/>
      <c r="I35" s="132" t="str">
        <f>LOOKUP(BA6,BC9:BC32,BF9:BF32)</f>
        <v>KG / 1000 sq m</v>
      </c>
      <c r="J35" s="133"/>
      <c r="K35" s="134">
        <f>IF($BF5&lt;&gt;1,K34*U6*LOOKUP($BA6,$BC9:$BC32,$BE9:$BE32),K34*LOOKUP($BA6,$BC9:$BC32,$BE9:$BE32))*1000</f>
        <v>93.044698928703383</v>
      </c>
      <c r="L35" s="141"/>
      <c r="M35" s="136">
        <f>IF($BF5&lt;&gt;1,M34*AJ6*LOOKUP($BA6,$BC9:$BC32,$BE9:$BE32),M34*LOOKUP($BA6,$BC9:$BC32,$BE9:$BE32))*1000</f>
        <v>69.590206387820771</v>
      </c>
      <c r="N35" s="132"/>
      <c r="O35" s="28"/>
      <c r="P35" s="31"/>
      <c r="Q35" s="31"/>
      <c r="R35" s="31"/>
      <c r="S35" s="31"/>
      <c r="T35" s="31"/>
      <c r="U35" s="73"/>
      <c r="V35" s="40"/>
      <c r="W35" s="31"/>
      <c r="X35" s="31"/>
      <c r="Y35" s="31"/>
      <c r="Z35" s="31"/>
      <c r="AA35" s="31"/>
      <c r="AB35" s="31"/>
      <c r="AC35" s="31"/>
      <c r="AD35" s="31"/>
      <c r="AE35" s="31"/>
      <c r="AF35" s="31"/>
      <c r="AG35" s="31"/>
      <c r="AH35" s="31"/>
      <c r="AI35" s="31"/>
      <c r="AJ35" s="31"/>
      <c r="AK35" s="84"/>
      <c r="AL35" s="85"/>
      <c r="AM35" s="85"/>
      <c r="AN35" s="85"/>
      <c r="AO35" s="85"/>
      <c r="AP35" s="85"/>
      <c r="AQ35" s="85"/>
      <c r="AR35" s="85"/>
      <c r="AS35" s="85"/>
      <c r="AT35" s="85"/>
      <c r="AU35" s="85"/>
      <c r="AV35" s="85"/>
      <c r="AW35" s="85"/>
      <c r="AX35" s="85"/>
      <c r="AY35" s="85"/>
      <c r="AZ35" s="85"/>
      <c r="BA35" s="10"/>
      <c r="BB35" s="10"/>
      <c r="BC35" s="10"/>
      <c r="BD35" s="79"/>
      <c r="BE35" s="10"/>
      <c r="BF35" s="79"/>
      <c r="BG35" s="10"/>
      <c r="BH35" s="79"/>
      <c r="BI35" s="36"/>
      <c r="BJ35" s="206"/>
    </row>
    <row r="36" spans="1:62" x14ac:dyDescent="0.2">
      <c r="A36" s="206"/>
      <c r="B36" s="28"/>
      <c r="C36" s="28"/>
      <c r="D36" s="28"/>
      <c r="E36" s="28"/>
      <c r="F36" s="28"/>
      <c r="G36" s="28"/>
      <c r="H36" s="28"/>
      <c r="I36" s="132" t="str">
        <f>F8</f>
        <v>$/TON</v>
      </c>
      <c r="J36" s="133"/>
      <c r="K36" s="134">
        <f>ROUND(K33/K35*LOOKUP(1,J28:L30,L28:L30),2)</f>
        <v>1215</v>
      </c>
      <c r="L36" s="141"/>
      <c r="M36" s="136">
        <f>ROUND(M33/M35*LOOKUP(1,J28:L30,L28:L30),2)</f>
        <v>1250</v>
      </c>
      <c r="N36" s="132"/>
      <c r="O36" s="28"/>
      <c r="P36" s="31"/>
      <c r="Q36" s="31"/>
      <c r="R36" s="31"/>
      <c r="S36" s="31"/>
      <c r="T36" s="31"/>
      <c r="U36" s="73"/>
      <c r="V36" s="40"/>
      <c r="W36" s="31"/>
      <c r="X36" s="31"/>
      <c r="Y36" s="31"/>
      <c r="Z36" s="31"/>
      <c r="AA36" s="31"/>
      <c r="AB36" s="31"/>
      <c r="AC36" s="31"/>
      <c r="AD36" s="31"/>
      <c r="AE36" s="31"/>
      <c r="AF36" s="31"/>
      <c r="AG36" s="31"/>
      <c r="AH36" s="31"/>
      <c r="AI36" s="31"/>
      <c r="AJ36" s="31"/>
      <c r="AK36" s="84"/>
      <c r="AL36" s="85"/>
      <c r="AM36" s="85"/>
      <c r="AN36" s="85"/>
      <c r="AO36" s="85"/>
      <c r="AP36" s="85"/>
      <c r="AQ36" s="85"/>
      <c r="AR36" s="85"/>
      <c r="AS36" s="85"/>
      <c r="AT36" s="85"/>
      <c r="AU36" s="85"/>
      <c r="AV36" s="85"/>
      <c r="AW36" s="85"/>
      <c r="AX36" s="85"/>
      <c r="AY36" s="85"/>
      <c r="AZ36" s="85"/>
      <c r="BA36" s="10"/>
      <c r="BB36" s="10"/>
      <c r="BC36" s="10"/>
      <c r="BD36" s="10"/>
      <c r="BE36" s="10"/>
      <c r="BF36" s="10"/>
      <c r="BG36" s="10"/>
      <c r="BH36" s="10"/>
      <c r="BI36" s="13"/>
      <c r="BJ36" s="206"/>
    </row>
    <row r="37" spans="1:62" ht="3" customHeight="1" x14ac:dyDescent="0.2">
      <c r="A37" s="206"/>
      <c r="B37" s="1"/>
      <c r="C37" s="1"/>
      <c r="D37" s="14"/>
      <c r="E37" s="14"/>
      <c r="F37" s="14"/>
      <c r="G37" s="14"/>
      <c r="H37" s="28"/>
      <c r="I37" s="28"/>
      <c r="J37" s="28"/>
      <c r="K37" s="28"/>
      <c r="L37" s="28"/>
      <c r="M37" s="28"/>
      <c r="N37" s="28"/>
      <c r="O37" s="28"/>
      <c r="P37" s="28"/>
      <c r="Q37" s="28"/>
      <c r="R37" s="28"/>
      <c r="S37" s="28"/>
      <c r="T37" s="28"/>
      <c r="U37" s="28"/>
      <c r="V37" s="13"/>
      <c r="W37" s="28"/>
      <c r="X37" s="28"/>
      <c r="Y37" s="28"/>
      <c r="Z37" s="28"/>
      <c r="AA37" s="28"/>
      <c r="AB37" s="28"/>
      <c r="AC37" s="28"/>
      <c r="AD37" s="28"/>
      <c r="AE37" s="28"/>
      <c r="AF37" s="28"/>
      <c r="AG37" s="28"/>
      <c r="AH37" s="28"/>
      <c r="AI37" s="28"/>
      <c r="AJ37" s="28"/>
      <c r="AK37" s="85"/>
      <c r="AL37" s="85"/>
      <c r="AM37" s="85"/>
      <c r="AN37" s="85"/>
      <c r="AO37" s="85"/>
      <c r="AP37" s="85"/>
      <c r="AQ37" s="85"/>
      <c r="AR37" s="85"/>
      <c r="AS37" s="85"/>
      <c r="AT37" s="85"/>
      <c r="AU37" s="85"/>
      <c r="AV37" s="85"/>
      <c r="AW37" s="85"/>
      <c r="AX37" s="85"/>
      <c r="AY37" s="85"/>
      <c r="AZ37" s="85"/>
      <c r="BA37" s="13"/>
      <c r="BB37" s="13"/>
      <c r="BC37" s="13"/>
      <c r="BD37" s="13"/>
      <c r="BE37" s="13"/>
      <c r="BF37" s="13"/>
      <c r="BG37" s="13"/>
      <c r="BH37" s="13"/>
      <c r="BI37" s="13"/>
      <c r="BJ37" s="206"/>
    </row>
    <row r="38" spans="1:62" ht="15.75" x14ac:dyDescent="0.2">
      <c r="A38" s="23" t="s">
        <v>82</v>
      </c>
      <c r="B38" s="24"/>
      <c r="C38" s="2"/>
      <c r="D38" s="2"/>
      <c r="E38" s="2"/>
      <c r="F38" s="2"/>
      <c r="G38" s="2"/>
      <c r="H38" s="2"/>
      <c r="I38" s="2"/>
      <c r="J38" s="2"/>
      <c r="K38" s="2"/>
      <c r="L38" s="2"/>
      <c r="M38" s="2"/>
      <c r="N38" s="2"/>
      <c r="O38" s="2"/>
      <c r="P38" s="2"/>
      <c r="Q38" s="2"/>
      <c r="R38" s="2"/>
      <c r="S38" s="2"/>
      <c r="T38" s="2"/>
      <c r="U38" s="2"/>
      <c r="V38" s="2"/>
      <c r="W38" s="25"/>
      <c r="X38" s="2"/>
      <c r="Y38" s="2"/>
      <c r="Z38" s="2"/>
      <c r="AA38" s="2"/>
      <c r="AB38" s="2"/>
      <c r="AC38" s="2"/>
      <c r="AD38" s="2"/>
      <c r="AE38" s="2"/>
      <c r="AF38" s="2"/>
      <c r="AG38" s="2"/>
      <c r="AH38" s="2"/>
      <c r="AI38" s="2"/>
      <c r="AJ38" s="2"/>
      <c r="AK38" s="128"/>
      <c r="AL38" s="128"/>
      <c r="AM38" s="128"/>
      <c r="AN38" s="128"/>
      <c r="AO38" s="128"/>
      <c r="AP38" s="128"/>
      <c r="AQ38" s="128"/>
      <c r="AR38" s="128"/>
      <c r="AS38" s="128"/>
      <c r="AT38" s="128"/>
      <c r="AU38" s="128"/>
      <c r="AV38" s="128"/>
      <c r="AW38" s="128"/>
      <c r="AX38" s="128"/>
      <c r="AY38" s="128"/>
      <c r="AZ38" s="128"/>
      <c r="BA38" s="82"/>
      <c r="BB38" s="82"/>
      <c r="BC38" s="82"/>
      <c r="BD38" s="82"/>
      <c r="BE38" s="82"/>
      <c r="BF38" s="82"/>
      <c r="BG38" s="82"/>
      <c r="BH38" s="82"/>
      <c r="BI38" s="82"/>
      <c r="BJ38" s="2"/>
    </row>
    <row r="39" spans="1:62" ht="3" customHeight="1" x14ac:dyDescent="0.2">
      <c r="A39" s="125"/>
      <c r="B39" s="3"/>
      <c r="C39" s="3"/>
      <c r="D39" s="3"/>
      <c r="E39" s="3"/>
      <c r="F39" s="3"/>
      <c r="G39" s="3"/>
      <c r="H39" s="15"/>
      <c r="I39" s="3"/>
      <c r="J39" s="3"/>
      <c r="K39" s="3"/>
      <c r="L39" s="3"/>
      <c r="M39" s="3"/>
      <c r="N39" s="3"/>
      <c r="O39" s="3"/>
      <c r="P39" s="3"/>
      <c r="Q39" s="3"/>
      <c r="R39" s="3"/>
      <c r="S39" s="3"/>
      <c r="T39" s="3"/>
      <c r="U39" s="3"/>
      <c r="V39" s="13"/>
      <c r="W39" s="3"/>
      <c r="X39" s="3"/>
      <c r="Y39" s="3"/>
      <c r="Z39" s="3"/>
      <c r="AA39" s="3"/>
      <c r="AB39" s="3"/>
      <c r="AC39" s="3"/>
      <c r="AD39" s="3"/>
      <c r="AE39" s="3"/>
      <c r="AF39" s="3"/>
      <c r="AG39" s="3"/>
      <c r="AH39" s="3"/>
      <c r="AI39" s="3"/>
      <c r="AJ39" s="3"/>
      <c r="AK39" s="13"/>
      <c r="AL39" s="13"/>
      <c r="AM39" s="40"/>
      <c r="AN39" s="40"/>
      <c r="AO39" s="40"/>
      <c r="AP39" s="40"/>
      <c r="AQ39" s="40"/>
      <c r="AR39" s="40"/>
      <c r="AS39" s="40"/>
      <c r="AT39" s="40"/>
      <c r="AU39" s="40"/>
      <c r="AV39" s="40"/>
      <c r="AW39" s="40"/>
      <c r="AX39" s="40"/>
      <c r="AY39" s="36"/>
      <c r="AZ39" s="13"/>
      <c r="BA39" s="13"/>
      <c r="BB39" s="13"/>
      <c r="BC39" s="13"/>
      <c r="BD39" s="13"/>
      <c r="BE39" s="13"/>
      <c r="BF39" s="13"/>
      <c r="BG39" s="13"/>
      <c r="BH39" s="13"/>
      <c r="BI39" s="13"/>
      <c r="BJ39" s="125"/>
    </row>
    <row r="40" spans="1:62" s="200" customFormat="1" ht="15.75" x14ac:dyDescent="0.2">
      <c r="A40" s="125"/>
      <c r="B40" s="3"/>
      <c r="C40" s="3"/>
      <c r="D40" s="3"/>
      <c r="E40" s="3"/>
      <c r="F40" s="3"/>
      <c r="G40" s="3"/>
      <c r="H40" s="15"/>
      <c r="I40" s="3"/>
      <c r="J40" s="3"/>
      <c r="K40" s="3"/>
      <c r="L40" s="3"/>
      <c r="M40" s="3"/>
      <c r="N40" s="3"/>
      <c r="O40" s="3"/>
      <c r="P40" s="3"/>
      <c r="Q40" s="3"/>
      <c r="R40" s="3"/>
      <c r="S40" s="3"/>
      <c r="T40" s="3"/>
      <c r="U40" s="3"/>
      <c r="V40" s="13"/>
      <c r="W40" s="3"/>
      <c r="X40" s="3"/>
      <c r="Y40" s="3"/>
      <c r="Z40" s="3"/>
      <c r="AA40" s="3"/>
      <c r="AB40" s="3"/>
      <c r="AC40" s="3"/>
      <c r="AD40" s="3"/>
      <c r="AE40" s="3"/>
      <c r="AF40" s="3"/>
      <c r="AG40" s="3"/>
      <c r="AH40" s="3"/>
      <c r="AI40" s="3"/>
      <c r="AJ40" s="3"/>
      <c r="AK40" s="13"/>
      <c r="AL40" s="13"/>
      <c r="AM40" s="40"/>
      <c r="AN40" s="40"/>
      <c r="AO40" s="40"/>
      <c r="AP40" s="40"/>
      <c r="AQ40" s="40"/>
      <c r="AR40" s="40"/>
      <c r="AS40" s="40"/>
      <c r="AT40" s="40"/>
      <c r="AU40" s="40"/>
      <c r="AV40" s="40"/>
      <c r="AW40" s="40"/>
      <c r="AX40" s="40"/>
      <c r="AY40" s="36"/>
      <c r="AZ40" s="13"/>
      <c r="BA40" s="13"/>
      <c r="BB40" s="13"/>
      <c r="BC40" s="13"/>
      <c r="BD40" s="13"/>
      <c r="BE40" s="13"/>
      <c r="BF40" s="13"/>
      <c r="BG40" s="13"/>
      <c r="BH40" s="13"/>
      <c r="BI40" s="13"/>
      <c r="BJ40" s="125"/>
    </row>
    <row r="41" spans="1:62" s="200" customFormat="1" ht="15.75" x14ac:dyDescent="0.2">
      <c r="A41" s="125"/>
      <c r="B41" s="3"/>
      <c r="C41" s="3"/>
      <c r="D41" s="3"/>
      <c r="E41" s="3"/>
      <c r="F41" s="3"/>
      <c r="G41" s="3"/>
      <c r="H41" s="15"/>
      <c r="I41" s="3"/>
      <c r="J41" s="3"/>
      <c r="K41" s="3"/>
      <c r="L41" s="3"/>
      <c r="M41" s="3"/>
      <c r="N41" s="3"/>
      <c r="O41" s="3"/>
      <c r="P41" s="3"/>
      <c r="Q41" s="3"/>
      <c r="R41" s="3"/>
      <c r="S41" s="3"/>
      <c r="T41" s="3"/>
      <c r="U41" s="3"/>
      <c r="V41" s="13"/>
      <c r="W41" s="3"/>
      <c r="X41" s="3"/>
      <c r="Y41" s="3"/>
      <c r="Z41" s="3"/>
      <c r="AA41" s="3"/>
      <c r="AB41" s="3"/>
      <c r="AC41" s="3"/>
      <c r="AD41" s="3"/>
      <c r="AE41" s="3"/>
      <c r="AF41" s="3"/>
      <c r="AG41" s="3"/>
      <c r="AH41" s="3"/>
      <c r="AI41" s="3"/>
      <c r="AJ41" s="3"/>
      <c r="AK41" s="13"/>
      <c r="AL41" s="13"/>
      <c r="AM41" s="40"/>
      <c r="AN41" s="40"/>
      <c r="AO41" s="40"/>
      <c r="AP41" s="40"/>
      <c r="AQ41" s="40"/>
      <c r="AR41" s="40"/>
      <c r="AS41" s="40"/>
      <c r="AT41" s="40"/>
      <c r="AU41" s="40"/>
      <c r="AV41" s="40"/>
      <c r="AW41" s="40"/>
      <c r="AX41" s="40"/>
      <c r="AY41" s="36"/>
      <c r="AZ41" s="13"/>
      <c r="BA41" s="13"/>
      <c r="BB41" s="13"/>
      <c r="BC41" s="13"/>
      <c r="BD41" s="13"/>
      <c r="BE41" s="13"/>
      <c r="BF41" s="13"/>
      <c r="BG41" s="13"/>
      <c r="BH41" s="13"/>
      <c r="BI41" s="13"/>
      <c r="BJ41" s="125"/>
    </row>
    <row r="42" spans="1:62" s="200" customFormat="1" ht="15.75" x14ac:dyDescent="0.2">
      <c r="A42" s="125"/>
      <c r="B42" s="3"/>
      <c r="C42" s="3"/>
      <c r="D42" s="3"/>
      <c r="E42" s="3"/>
      <c r="F42" s="3"/>
      <c r="G42" s="3"/>
      <c r="H42" s="15"/>
      <c r="I42" s="3"/>
      <c r="J42" s="3"/>
      <c r="K42" s="3"/>
      <c r="L42" s="3"/>
      <c r="M42" s="3"/>
      <c r="N42" s="3"/>
      <c r="O42" s="3"/>
      <c r="P42" s="3"/>
      <c r="Q42" s="3"/>
      <c r="R42" s="3"/>
      <c r="S42" s="3"/>
      <c r="T42" s="3"/>
      <c r="U42" s="3"/>
      <c r="V42" s="13"/>
      <c r="W42" s="3"/>
      <c r="X42" s="3"/>
      <c r="Y42" s="3"/>
      <c r="Z42" s="3"/>
      <c r="AA42" s="3"/>
      <c r="AB42" s="3"/>
      <c r="AC42" s="3"/>
      <c r="AD42" s="3"/>
      <c r="AE42" s="3"/>
      <c r="AF42" s="3"/>
      <c r="AG42" s="3"/>
      <c r="AH42" s="3"/>
      <c r="AI42" s="3"/>
      <c r="AJ42" s="3"/>
      <c r="AK42" s="13"/>
      <c r="AL42" s="13"/>
      <c r="AM42" s="40"/>
      <c r="AN42" s="40"/>
      <c r="AO42" s="40"/>
      <c r="AP42" s="40"/>
      <c r="AQ42" s="40"/>
      <c r="AR42" s="40"/>
      <c r="AS42" s="40"/>
      <c r="AT42" s="40"/>
      <c r="AU42" s="40"/>
      <c r="AV42" s="40"/>
      <c r="AW42" s="40"/>
      <c r="AX42" s="40"/>
      <c r="AY42" s="36"/>
      <c r="AZ42" s="13"/>
      <c r="BA42" s="13"/>
      <c r="BB42" s="13"/>
      <c r="BC42" s="13"/>
      <c r="BD42" s="13"/>
      <c r="BE42" s="13"/>
      <c r="BF42" s="13"/>
      <c r="BG42" s="13"/>
      <c r="BH42" s="13"/>
      <c r="BI42" s="13"/>
      <c r="BJ42" s="125"/>
    </row>
    <row r="43" spans="1:62" s="200" customFormat="1" ht="15.75" x14ac:dyDescent="0.2">
      <c r="A43" s="125"/>
      <c r="B43" s="3"/>
      <c r="C43" s="3"/>
      <c r="D43" s="3"/>
      <c r="E43" s="3"/>
      <c r="F43" s="3"/>
      <c r="G43" s="3"/>
      <c r="H43" s="15"/>
      <c r="I43" s="3"/>
      <c r="J43" s="3"/>
      <c r="K43" s="3"/>
      <c r="L43" s="3"/>
      <c r="M43" s="3"/>
      <c r="N43" s="3"/>
      <c r="O43" s="3"/>
      <c r="P43" s="3"/>
      <c r="Q43" s="3"/>
      <c r="R43" s="3"/>
      <c r="S43" s="3"/>
      <c r="T43" s="3"/>
      <c r="U43" s="3"/>
      <c r="V43" s="13"/>
      <c r="W43" s="3"/>
      <c r="X43" s="3"/>
      <c r="Y43" s="3"/>
      <c r="Z43" s="3"/>
      <c r="AA43" s="3"/>
      <c r="AB43" s="3"/>
      <c r="AC43" s="3"/>
      <c r="AD43" s="3"/>
      <c r="AE43" s="3"/>
      <c r="AF43" s="3"/>
      <c r="AG43" s="3"/>
      <c r="AH43" s="3"/>
      <c r="AI43" s="3"/>
      <c r="AJ43" s="3"/>
      <c r="AK43" s="13"/>
      <c r="AL43" s="13"/>
      <c r="AM43" s="40"/>
      <c r="AN43" s="40"/>
      <c r="AO43" s="40"/>
      <c r="AP43" s="40"/>
      <c r="AQ43" s="40"/>
      <c r="AR43" s="40"/>
      <c r="AS43" s="40"/>
      <c r="AT43" s="40"/>
      <c r="AU43" s="40"/>
      <c r="AV43" s="40"/>
      <c r="AW43" s="40"/>
      <c r="AX43" s="40"/>
      <c r="AY43" s="36"/>
      <c r="AZ43" s="13"/>
      <c r="BA43" s="13"/>
      <c r="BB43" s="13"/>
      <c r="BC43" s="13"/>
      <c r="BD43" s="13"/>
      <c r="BE43" s="13"/>
      <c r="BF43" s="13"/>
      <c r="BG43" s="13"/>
      <c r="BH43" s="13"/>
      <c r="BI43" s="13"/>
      <c r="BJ43" s="125"/>
    </row>
    <row r="44" spans="1:62" s="200" customFormat="1" ht="15.75" x14ac:dyDescent="0.2">
      <c r="A44" s="125"/>
      <c r="B44" s="3"/>
      <c r="C44" s="3"/>
      <c r="D44" s="3"/>
      <c r="E44" s="3"/>
      <c r="F44" s="3"/>
      <c r="G44" s="3"/>
      <c r="H44" s="15"/>
      <c r="I44" s="3"/>
      <c r="J44" s="3"/>
      <c r="K44" s="3"/>
      <c r="L44" s="3"/>
      <c r="M44" s="3"/>
      <c r="N44" s="3"/>
      <c r="O44" s="3"/>
      <c r="P44" s="3"/>
      <c r="Q44" s="3"/>
      <c r="R44" s="3"/>
      <c r="S44" s="3"/>
      <c r="T44" s="3"/>
      <c r="U44" s="3"/>
      <c r="V44" s="13"/>
      <c r="W44" s="3"/>
      <c r="X44" s="3"/>
      <c r="Y44" s="3"/>
      <c r="Z44" s="3"/>
      <c r="AA44" s="3"/>
      <c r="AB44" s="3"/>
      <c r="AC44" s="3"/>
      <c r="AD44" s="3"/>
      <c r="AE44" s="3"/>
      <c r="AF44" s="3"/>
      <c r="AG44" s="3"/>
      <c r="AH44" s="3"/>
      <c r="AI44" s="3"/>
      <c r="AJ44" s="3"/>
      <c r="AK44" s="13"/>
      <c r="AL44" s="13"/>
      <c r="AM44" s="40"/>
      <c r="AN44" s="40"/>
      <c r="AO44" s="40"/>
      <c r="AP44" s="40"/>
      <c r="AQ44" s="40"/>
      <c r="AR44" s="40"/>
      <c r="AS44" s="40"/>
      <c r="AT44" s="40"/>
      <c r="AU44" s="40"/>
      <c r="AV44" s="40"/>
      <c r="AW44" s="40"/>
      <c r="AX44" s="40"/>
      <c r="AY44" s="36"/>
      <c r="AZ44" s="13"/>
      <c r="BA44" s="13"/>
      <c r="BB44" s="13"/>
      <c r="BC44" s="13"/>
      <c r="BD44" s="13"/>
      <c r="BE44" s="13"/>
      <c r="BF44" s="13"/>
      <c r="BG44" s="13"/>
      <c r="BH44" s="13"/>
      <c r="BI44" s="13"/>
      <c r="BJ44" s="125"/>
    </row>
    <row r="45" spans="1:62" s="200" customFormat="1" ht="15.75" x14ac:dyDescent="0.2">
      <c r="A45" s="125"/>
      <c r="B45" s="3"/>
      <c r="C45" s="3"/>
      <c r="D45" s="3"/>
      <c r="E45" s="3"/>
      <c r="F45" s="3"/>
      <c r="G45" s="3"/>
      <c r="H45" s="15"/>
      <c r="I45" s="3"/>
      <c r="J45" s="3"/>
      <c r="K45" s="3"/>
      <c r="L45" s="3"/>
      <c r="M45" s="3"/>
      <c r="N45" s="3"/>
      <c r="O45" s="3"/>
      <c r="P45" s="3"/>
      <c r="Q45" s="3"/>
      <c r="R45" s="3"/>
      <c r="S45" s="3"/>
      <c r="T45" s="3"/>
      <c r="U45" s="3"/>
      <c r="V45" s="13"/>
      <c r="W45" s="3"/>
      <c r="X45" s="3"/>
      <c r="Y45" s="3"/>
      <c r="Z45" s="3"/>
      <c r="AA45" s="3"/>
      <c r="AB45" s="3"/>
      <c r="AC45" s="3"/>
      <c r="AD45" s="3"/>
      <c r="AE45" s="3"/>
      <c r="AF45" s="3"/>
      <c r="AG45" s="3"/>
      <c r="AH45" s="3"/>
      <c r="AI45" s="3"/>
      <c r="AJ45" s="3"/>
      <c r="AK45" s="13"/>
      <c r="AL45" s="13"/>
      <c r="AM45" s="40"/>
      <c r="AN45" s="40"/>
      <c r="AO45" s="40"/>
      <c r="AP45" s="40"/>
      <c r="AQ45" s="40"/>
      <c r="AR45" s="40"/>
      <c r="AS45" s="40"/>
      <c r="AT45" s="40"/>
      <c r="AU45" s="40"/>
      <c r="AV45" s="40"/>
      <c r="AW45" s="40"/>
      <c r="AX45" s="40"/>
      <c r="AY45" s="36"/>
      <c r="AZ45" s="13"/>
      <c r="BA45" s="13"/>
      <c r="BB45" s="13"/>
      <c r="BC45" s="13"/>
      <c r="BD45" s="13"/>
      <c r="BE45" s="13"/>
      <c r="BF45" s="13"/>
      <c r="BG45" s="13"/>
      <c r="BH45" s="13"/>
      <c r="BI45" s="13"/>
      <c r="BJ45" s="125"/>
    </row>
    <row r="46" spans="1:62" s="200" customFormat="1" ht="15.75" x14ac:dyDescent="0.2">
      <c r="A46" s="125"/>
      <c r="B46" s="3"/>
      <c r="C46" s="3"/>
      <c r="D46" s="3"/>
      <c r="E46" s="3"/>
      <c r="F46" s="3"/>
      <c r="G46" s="3"/>
      <c r="H46" s="15"/>
      <c r="I46" s="3"/>
      <c r="J46" s="3"/>
      <c r="K46" s="3"/>
      <c r="L46" s="3"/>
      <c r="M46" s="3"/>
      <c r="N46" s="3"/>
      <c r="O46" s="3"/>
      <c r="P46" s="3"/>
      <c r="Q46" s="3"/>
      <c r="R46" s="3"/>
      <c r="S46" s="3"/>
      <c r="T46" s="3"/>
      <c r="U46" s="3"/>
      <c r="V46" s="13"/>
      <c r="W46" s="3"/>
      <c r="X46" s="3"/>
      <c r="Y46" s="3"/>
      <c r="Z46" s="3"/>
      <c r="AA46" s="3"/>
      <c r="AB46" s="3"/>
      <c r="AC46" s="3"/>
      <c r="AD46" s="3"/>
      <c r="AE46" s="3"/>
      <c r="AF46" s="3"/>
      <c r="AG46" s="3"/>
      <c r="AH46" s="3"/>
      <c r="AI46" s="3"/>
      <c r="AJ46" s="3"/>
      <c r="AK46" s="13"/>
      <c r="AL46" s="13"/>
      <c r="AM46" s="40"/>
      <c r="AN46" s="40"/>
      <c r="AO46" s="40"/>
      <c r="AP46" s="40"/>
      <c r="AQ46" s="40"/>
      <c r="AR46" s="40"/>
      <c r="AS46" s="40"/>
      <c r="AT46" s="40"/>
      <c r="AU46" s="40"/>
      <c r="AV46" s="40"/>
      <c r="AW46" s="40"/>
      <c r="AX46" s="40"/>
      <c r="AY46" s="36"/>
      <c r="AZ46" s="13"/>
      <c r="BA46" s="13"/>
      <c r="BB46" s="13"/>
      <c r="BC46" s="13"/>
      <c r="BD46" s="13"/>
      <c r="BE46" s="13"/>
      <c r="BF46" s="13"/>
      <c r="BG46" s="13"/>
      <c r="BH46" s="13"/>
      <c r="BI46" s="13"/>
      <c r="BJ46" s="125"/>
    </row>
    <row r="47" spans="1:62" s="200" customFormat="1" ht="15.75" x14ac:dyDescent="0.2">
      <c r="A47" s="125"/>
      <c r="B47" s="3"/>
      <c r="C47" s="3"/>
      <c r="D47" s="3"/>
      <c r="E47" s="3"/>
      <c r="F47" s="3"/>
      <c r="G47" s="3"/>
      <c r="H47" s="15"/>
      <c r="I47" s="3"/>
      <c r="J47" s="3"/>
      <c r="K47" s="3"/>
      <c r="L47" s="3"/>
      <c r="M47" s="3"/>
      <c r="N47" s="3"/>
      <c r="O47" s="3"/>
      <c r="P47" s="3"/>
      <c r="Q47" s="3"/>
      <c r="R47" s="3"/>
      <c r="S47" s="3"/>
      <c r="T47" s="3"/>
      <c r="U47" s="3"/>
      <c r="V47" s="13"/>
      <c r="W47" s="3"/>
      <c r="X47" s="3"/>
      <c r="Y47" s="3"/>
      <c r="Z47" s="3"/>
      <c r="AA47" s="3"/>
      <c r="AB47" s="3"/>
      <c r="AC47" s="3"/>
      <c r="AD47" s="3"/>
      <c r="AE47" s="3"/>
      <c r="AF47" s="3"/>
      <c r="AG47" s="3"/>
      <c r="AH47" s="3"/>
      <c r="AI47" s="3"/>
      <c r="AJ47" s="3"/>
      <c r="AK47" s="13"/>
      <c r="AL47" s="13"/>
      <c r="AM47" s="40"/>
      <c r="AN47" s="40"/>
      <c r="AO47" s="40"/>
      <c r="AP47" s="40"/>
      <c r="AQ47" s="40"/>
      <c r="AR47" s="40"/>
      <c r="AS47" s="40"/>
      <c r="AT47" s="40"/>
      <c r="AU47" s="40"/>
      <c r="AV47" s="40"/>
      <c r="AW47" s="40"/>
      <c r="AX47" s="40"/>
      <c r="AY47" s="36"/>
      <c r="AZ47" s="13"/>
      <c r="BA47" s="13"/>
      <c r="BB47" s="13"/>
      <c r="BC47" s="13"/>
      <c r="BD47" s="13"/>
      <c r="BE47" s="13"/>
      <c r="BF47" s="13"/>
      <c r="BG47" s="13"/>
      <c r="BH47" s="13"/>
      <c r="BI47" s="13"/>
      <c r="BJ47" s="125"/>
    </row>
    <row r="48" spans="1:62" s="200" customFormat="1" ht="15.75" x14ac:dyDescent="0.2">
      <c r="A48" s="125"/>
      <c r="B48" s="3"/>
      <c r="C48" s="3"/>
      <c r="D48" s="3"/>
      <c r="E48" s="3"/>
      <c r="F48" s="3"/>
      <c r="G48" s="3"/>
      <c r="H48" s="15"/>
      <c r="I48" s="3"/>
      <c r="J48" s="3"/>
      <c r="K48" s="3"/>
      <c r="L48" s="3"/>
      <c r="M48" s="3"/>
      <c r="N48" s="3"/>
      <c r="O48" s="3"/>
      <c r="P48" s="3"/>
      <c r="Q48" s="3"/>
      <c r="R48" s="3"/>
      <c r="S48" s="3"/>
      <c r="T48" s="3"/>
      <c r="U48" s="3"/>
      <c r="V48" s="13"/>
      <c r="W48" s="3"/>
      <c r="X48" s="3"/>
      <c r="Y48" s="3"/>
      <c r="Z48" s="3"/>
      <c r="AA48" s="3"/>
      <c r="AB48" s="3"/>
      <c r="AC48" s="3"/>
      <c r="AD48" s="3"/>
      <c r="AE48" s="3"/>
      <c r="AF48" s="3"/>
      <c r="AG48" s="3"/>
      <c r="AH48" s="3"/>
      <c r="AI48" s="3"/>
      <c r="AJ48" s="3"/>
      <c r="AK48" s="13"/>
      <c r="AL48" s="13"/>
      <c r="AM48" s="40"/>
      <c r="AN48" s="40"/>
      <c r="AO48" s="40"/>
      <c r="AP48" s="40"/>
      <c r="AQ48" s="40"/>
      <c r="AR48" s="40"/>
      <c r="AS48" s="40"/>
      <c r="AT48" s="40"/>
      <c r="AU48" s="40"/>
      <c r="AV48" s="40"/>
      <c r="AW48" s="40"/>
      <c r="AX48" s="40"/>
      <c r="AY48" s="36"/>
      <c r="AZ48" s="13"/>
      <c r="BA48" s="13"/>
      <c r="BB48" s="13"/>
      <c r="BC48" s="13"/>
      <c r="BD48" s="13"/>
      <c r="BE48" s="13"/>
      <c r="BF48" s="13"/>
      <c r="BG48" s="13"/>
      <c r="BH48" s="13"/>
      <c r="BI48" s="13"/>
      <c r="BJ48" s="125"/>
    </row>
    <row r="49" spans="1:62" s="200" customFormat="1" ht="15.75" x14ac:dyDescent="0.2">
      <c r="A49" s="125"/>
      <c r="B49" s="3"/>
      <c r="C49" s="3"/>
      <c r="D49" s="3"/>
      <c r="E49" s="3"/>
      <c r="F49" s="3"/>
      <c r="G49" s="3"/>
      <c r="H49" s="15"/>
      <c r="I49" s="3"/>
      <c r="J49" s="3"/>
      <c r="K49" s="3"/>
      <c r="L49" s="3"/>
      <c r="M49" s="3"/>
      <c r="N49" s="3"/>
      <c r="O49" s="3"/>
      <c r="P49" s="3"/>
      <c r="Q49" s="3"/>
      <c r="R49" s="3"/>
      <c r="S49" s="3"/>
      <c r="T49" s="3"/>
      <c r="U49" s="3"/>
      <c r="V49" s="13"/>
      <c r="W49" s="3"/>
      <c r="X49" s="3"/>
      <c r="Y49" s="3"/>
      <c r="Z49" s="3"/>
      <c r="AA49" s="3"/>
      <c r="AB49" s="3"/>
      <c r="AC49" s="3"/>
      <c r="AD49" s="3"/>
      <c r="AE49" s="3"/>
      <c r="AF49" s="3"/>
      <c r="AG49" s="3"/>
      <c r="AH49" s="3"/>
      <c r="AI49" s="3"/>
      <c r="AJ49" s="3"/>
      <c r="AK49" s="13"/>
      <c r="AL49" s="13"/>
      <c r="AM49" s="40"/>
      <c r="AN49" s="40"/>
      <c r="AO49" s="40"/>
      <c r="AP49" s="40"/>
      <c r="AQ49" s="40"/>
      <c r="AR49" s="40"/>
      <c r="AS49" s="40"/>
      <c r="AT49" s="40"/>
      <c r="AU49" s="40"/>
      <c r="AV49" s="40"/>
      <c r="AW49" s="40"/>
      <c r="AX49" s="40"/>
      <c r="AY49" s="36"/>
      <c r="AZ49" s="13"/>
      <c r="BA49" s="13"/>
      <c r="BB49" s="13"/>
      <c r="BC49" s="13"/>
      <c r="BD49" s="13"/>
      <c r="BE49" s="13"/>
      <c r="BF49" s="13"/>
      <c r="BG49" s="13"/>
      <c r="BH49" s="13"/>
      <c r="BI49" s="13"/>
      <c r="BJ49" s="125"/>
    </row>
    <row r="50" spans="1:62" s="200" customFormat="1" ht="15.75" x14ac:dyDescent="0.2">
      <c r="A50" s="125"/>
      <c r="B50" s="3"/>
      <c r="C50" s="3"/>
      <c r="D50" s="3"/>
      <c r="E50" s="3"/>
      <c r="F50" s="3"/>
      <c r="G50" s="3"/>
      <c r="H50" s="15"/>
      <c r="I50" s="3"/>
      <c r="J50" s="3"/>
      <c r="K50" s="3"/>
      <c r="L50" s="3"/>
      <c r="M50" s="3"/>
      <c r="N50" s="3"/>
      <c r="O50" s="3"/>
      <c r="P50" s="3"/>
      <c r="Q50" s="3"/>
      <c r="R50" s="3"/>
      <c r="S50" s="3"/>
      <c r="T50" s="3"/>
      <c r="U50" s="3"/>
      <c r="V50" s="13"/>
      <c r="W50" s="3"/>
      <c r="X50" s="3"/>
      <c r="Y50" s="3"/>
      <c r="Z50" s="3"/>
      <c r="AA50" s="3"/>
      <c r="AB50" s="3"/>
      <c r="AC50" s="3"/>
      <c r="AD50" s="3"/>
      <c r="AE50" s="3"/>
      <c r="AF50" s="3"/>
      <c r="AG50" s="3"/>
      <c r="AH50" s="3"/>
      <c r="AI50" s="3"/>
      <c r="AJ50" s="3"/>
      <c r="AK50" s="13"/>
      <c r="AL50" s="13"/>
      <c r="AM50" s="40"/>
      <c r="AN50" s="40"/>
      <c r="AO50" s="40"/>
      <c r="AP50" s="40"/>
      <c r="AQ50" s="40"/>
      <c r="AR50" s="40"/>
      <c r="AS50" s="40"/>
      <c r="AT50" s="40"/>
      <c r="AU50" s="40"/>
      <c r="AV50" s="40"/>
      <c r="AW50" s="40"/>
      <c r="AX50" s="40"/>
      <c r="AY50" s="36"/>
      <c r="AZ50" s="13"/>
      <c r="BA50" s="13"/>
      <c r="BB50" s="13"/>
      <c r="BC50" s="13"/>
      <c r="BD50" s="13"/>
      <c r="BE50" s="13"/>
      <c r="BF50" s="13"/>
      <c r="BG50" s="13"/>
      <c r="BH50" s="13"/>
      <c r="BI50" s="13"/>
      <c r="BJ50" s="125"/>
    </row>
    <row r="51" spans="1:62" s="200" customFormat="1" ht="15.75" x14ac:dyDescent="0.2">
      <c r="A51" s="125"/>
      <c r="B51" s="3"/>
      <c r="C51" s="3"/>
      <c r="D51" s="3"/>
      <c r="E51" s="3"/>
      <c r="F51" s="3"/>
      <c r="G51" s="3"/>
      <c r="H51" s="15"/>
      <c r="I51" s="3"/>
      <c r="J51" s="3"/>
      <c r="K51" s="3"/>
      <c r="L51" s="3"/>
      <c r="M51" s="3"/>
      <c r="N51" s="3"/>
      <c r="O51" s="3"/>
      <c r="P51" s="3"/>
      <c r="Q51" s="3"/>
      <c r="R51" s="3"/>
      <c r="S51" s="3"/>
      <c r="T51" s="3"/>
      <c r="U51" s="3"/>
      <c r="V51" s="13"/>
      <c r="W51" s="3"/>
      <c r="X51" s="3"/>
      <c r="Y51" s="3"/>
      <c r="Z51" s="3"/>
      <c r="AA51" s="3"/>
      <c r="AB51" s="3"/>
      <c r="AC51" s="3"/>
      <c r="AD51" s="3"/>
      <c r="AE51" s="3"/>
      <c r="AF51" s="3"/>
      <c r="AG51" s="3"/>
      <c r="AH51" s="3"/>
      <c r="AI51" s="3"/>
      <c r="AJ51" s="3"/>
      <c r="AK51" s="13"/>
      <c r="AL51" s="13"/>
      <c r="AM51" s="40"/>
      <c r="AN51" s="40"/>
      <c r="AO51" s="40"/>
      <c r="AP51" s="40"/>
      <c r="AQ51" s="40"/>
      <c r="AR51" s="40"/>
      <c r="AS51" s="40"/>
      <c r="AT51" s="40"/>
      <c r="AU51" s="40"/>
      <c r="AV51" s="40"/>
      <c r="AW51" s="40"/>
      <c r="AX51" s="40"/>
      <c r="AY51" s="36"/>
      <c r="AZ51" s="13"/>
      <c r="BA51" s="13"/>
      <c r="BB51" s="13"/>
      <c r="BC51" s="13"/>
      <c r="BD51" s="13"/>
      <c r="BE51" s="13"/>
      <c r="BF51" s="13"/>
      <c r="BG51" s="13"/>
      <c r="BH51" s="13"/>
      <c r="BI51" s="13"/>
      <c r="BJ51" s="125"/>
    </row>
    <row r="52" spans="1:62" s="200" customFormat="1" ht="15.75" x14ac:dyDescent="0.2">
      <c r="A52" s="125"/>
      <c r="B52" s="3"/>
      <c r="C52" s="3"/>
      <c r="D52" s="3"/>
      <c r="E52" s="3"/>
      <c r="F52" s="3"/>
      <c r="G52" s="3"/>
      <c r="H52" s="15"/>
      <c r="I52" s="3"/>
      <c r="J52" s="3"/>
      <c r="K52" s="3"/>
      <c r="L52" s="3"/>
      <c r="M52" s="3"/>
      <c r="N52" s="3"/>
      <c r="O52" s="3"/>
      <c r="P52" s="3"/>
      <c r="Q52" s="3"/>
      <c r="R52" s="3"/>
      <c r="S52" s="3"/>
      <c r="T52" s="3"/>
      <c r="U52" s="3"/>
      <c r="V52" s="13"/>
      <c r="W52" s="3"/>
      <c r="X52" s="3"/>
      <c r="Y52" s="3"/>
      <c r="Z52" s="3"/>
      <c r="AA52" s="3"/>
      <c r="AB52" s="3"/>
      <c r="AC52" s="3"/>
      <c r="AD52" s="3"/>
      <c r="AE52" s="3"/>
      <c r="AF52" s="3"/>
      <c r="AG52" s="3"/>
      <c r="AH52" s="3"/>
      <c r="AI52" s="3"/>
      <c r="AJ52" s="3"/>
      <c r="AK52" s="13"/>
      <c r="AL52" s="13"/>
      <c r="AM52" s="40"/>
      <c r="AN52" s="40"/>
      <c r="AO52" s="40"/>
      <c r="AP52" s="40"/>
      <c r="AQ52" s="40"/>
      <c r="AR52" s="40"/>
      <c r="AS52" s="40"/>
      <c r="AT52" s="40"/>
      <c r="AU52" s="40"/>
      <c r="AV52" s="40"/>
      <c r="AW52" s="40"/>
      <c r="AX52" s="40"/>
      <c r="AY52" s="36"/>
      <c r="AZ52" s="13"/>
      <c r="BA52" s="13"/>
      <c r="BB52" s="13"/>
      <c r="BC52" s="13"/>
      <c r="BD52" s="13"/>
      <c r="BE52" s="13"/>
      <c r="BF52" s="13"/>
      <c r="BG52" s="13"/>
      <c r="BH52" s="13"/>
      <c r="BI52" s="13"/>
      <c r="BJ52" s="125"/>
    </row>
    <row r="53" spans="1:62" s="200" customFormat="1" ht="15.75" x14ac:dyDescent="0.2">
      <c r="A53" s="125"/>
      <c r="B53" s="3"/>
      <c r="C53" s="3"/>
      <c r="D53" s="3"/>
      <c r="E53" s="3"/>
      <c r="F53" s="3"/>
      <c r="G53" s="3"/>
      <c r="H53" s="15"/>
      <c r="I53" s="3"/>
      <c r="J53" s="3"/>
      <c r="K53" s="3"/>
      <c r="L53" s="3"/>
      <c r="M53" s="3"/>
      <c r="N53" s="3"/>
      <c r="O53" s="3"/>
      <c r="P53" s="3"/>
      <c r="Q53" s="3"/>
      <c r="R53" s="3"/>
      <c r="S53" s="3"/>
      <c r="T53" s="3"/>
      <c r="U53" s="3"/>
      <c r="V53" s="13"/>
      <c r="W53" s="3"/>
      <c r="X53" s="3"/>
      <c r="Y53" s="3"/>
      <c r="Z53" s="3"/>
      <c r="AA53" s="3"/>
      <c r="AB53" s="3"/>
      <c r="AC53" s="3"/>
      <c r="AD53" s="3"/>
      <c r="AE53" s="3"/>
      <c r="AF53" s="3"/>
      <c r="AG53" s="3"/>
      <c r="AH53" s="3"/>
      <c r="AI53" s="3"/>
      <c r="AJ53" s="3"/>
      <c r="AK53" s="13"/>
      <c r="AL53" s="13"/>
      <c r="AM53" s="40"/>
      <c r="AN53" s="40"/>
      <c r="AO53" s="40"/>
      <c r="AP53" s="40"/>
      <c r="AQ53" s="40"/>
      <c r="AR53" s="40"/>
      <c r="AS53" s="40"/>
      <c r="AT53" s="40"/>
      <c r="AU53" s="40"/>
      <c r="AV53" s="40"/>
      <c r="AW53" s="40"/>
      <c r="AX53" s="40"/>
      <c r="AY53" s="36"/>
      <c r="AZ53" s="13"/>
      <c r="BA53" s="13"/>
      <c r="BB53" s="13"/>
      <c r="BC53" s="13"/>
      <c r="BD53" s="13"/>
      <c r="BE53" s="13"/>
      <c r="BF53" s="13"/>
      <c r="BG53" s="13"/>
      <c r="BH53" s="13"/>
      <c r="BI53" s="13"/>
      <c r="BJ53" s="125"/>
    </row>
    <row r="54" spans="1:62" s="200" customFormat="1" ht="15.75" x14ac:dyDescent="0.2">
      <c r="A54" s="125"/>
      <c r="B54" s="3"/>
      <c r="C54" s="3"/>
      <c r="D54" s="3"/>
      <c r="E54" s="3"/>
      <c r="F54" s="3"/>
      <c r="G54" s="3"/>
      <c r="H54" s="15"/>
      <c r="I54" s="3"/>
      <c r="J54" s="3"/>
      <c r="K54" s="3"/>
      <c r="L54" s="3"/>
      <c r="M54" s="3"/>
      <c r="N54" s="3"/>
      <c r="O54" s="3"/>
      <c r="P54" s="3"/>
      <c r="Q54" s="3"/>
      <c r="R54" s="3"/>
      <c r="S54" s="3"/>
      <c r="T54" s="3"/>
      <c r="U54" s="3"/>
      <c r="V54" s="13"/>
      <c r="W54" s="3"/>
      <c r="X54" s="3"/>
      <c r="Y54" s="3"/>
      <c r="Z54" s="3"/>
      <c r="AA54" s="3"/>
      <c r="AB54" s="3"/>
      <c r="AC54" s="3"/>
      <c r="AD54" s="3"/>
      <c r="AE54" s="3"/>
      <c r="AF54" s="3"/>
      <c r="AG54" s="3"/>
      <c r="AH54" s="3"/>
      <c r="AI54" s="3"/>
      <c r="AJ54" s="3"/>
      <c r="AK54" s="13"/>
      <c r="AL54" s="13"/>
      <c r="AM54" s="40"/>
      <c r="AN54" s="40"/>
      <c r="AO54" s="40"/>
      <c r="AP54" s="40"/>
      <c r="AQ54" s="40"/>
      <c r="AR54" s="40"/>
      <c r="AS54" s="40"/>
      <c r="AT54" s="40"/>
      <c r="AU54" s="40"/>
      <c r="AV54" s="40"/>
      <c r="AW54" s="40"/>
      <c r="AX54" s="40"/>
      <c r="AY54" s="36"/>
      <c r="AZ54" s="13"/>
      <c r="BA54" s="13"/>
      <c r="BB54" s="13"/>
      <c r="BC54" s="13"/>
      <c r="BD54" s="13"/>
      <c r="BE54" s="13"/>
      <c r="BF54" s="13"/>
      <c r="BG54" s="13"/>
      <c r="BH54" s="13"/>
      <c r="BI54" s="13"/>
      <c r="BJ54" s="125"/>
    </row>
    <row r="55" spans="1:62" s="200" customFormat="1" ht="15.75" x14ac:dyDescent="0.2">
      <c r="A55" s="125"/>
      <c r="B55" s="3"/>
      <c r="C55" s="3"/>
      <c r="D55" s="3"/>
      <c r="E55" s="3"/>
      <c r="F55" s="3"/>
      <c r="G55" s="3"/>
      <c r="H55" s="15"/>
      <c r="I55" s="3"/>
      <c r="J55" s="3"/>
      <c r="K55" s="3"/>
      <c r="L55" s="3"/>
      <c r="M55" s="3"/>
      <c r="N55" s="3"/>
      <c r="O55" s="3"/>
      <c r="P55" s="3"/>
      <c r="Q55" s="3"/>
      <c r="R55" s="3"/>
      <c r="S55" s="3"/>
      <c r="T55" s="3"/>
      <c r="U55" s="3"/>
      <c r="V55" s="13"/>
      <c r="W55" s="3"/>
      <c r="X55" s="3"/>
      <c r="Y55" s="3"/>
      <c r="Z55" s="3"/>
      <c r="AA55" s="3"/>
      <c r="AB55" s="3"/>
      <c r="AC55" s="3"/>
      <c r="AD55" s="3"/>
      <c r="AE55" s="3"/>
      <c r="AF55" s="3"/>
      <c r="AG55" s="3"/>
      <c r="AH55" s="3"/>
      <c r="AI55" s="3"/>
      <c r="AJ55" s="3"/>
      <c r="AK55" s="13"/>
      <c r="AL55" s="13"/>
      <c r="AM55" s="40"/>
      <c r="AN55" s="40"/>
      <c r="AO55" s="40"/>
      <c r="AP55" s="40"/>
      <c r="AQ55" s="40"/>
      <c r="AR55" s="40"/>
      <c r="AS55" s="40"/>
      <c r="AT55" s="40"/>
      <c r="AU55" s="40"/>
      <c r="AV55" s="40"/>
      <c r="AW55" s="40"/>
      <c r="AX55" s="40"/>
      <c r="AY55" s="36"/>
      <c r="AZ55" s="13"/>
      <c r="BA55" s="13"/>
      <c r="BB55" s="13"/>
      <c r="BC55" s="13"/>
      <c r="BD55" s="13"/>
      <c r="BE55" s="13"/>
      <c r="BF55" s="13"/>
      <c r="BG55" s="13"/>
      <c r="BH55" s="13"/>
      <c r="BI55" s="13"/>
      <c r="BJ55" s="125"/>
    </row>
    <row r="56" spans="1:62" s="200" customFormat="1" ht="15.75" x14ac:dyDescent="0.2">
      <c r="A56" s="125"/>
      <c r="B56" s="3"/>
      <c r="C56" s="3"/>
      <c r="D56" s="3"/>
      <c r="E56" s="3"/>
      <c r="F56" s="3"/>
      <c r="G56" s="3"/>
      <c r="H56" s="15"/>
      <c r="I56" s="3"/>
      <c r="J56" s="3"/>
      <c r="K56" s="3"/>
      <c r="L56" s="3"/>
      <c r="M56" s="3"/>
      <c r="N56" s="3"/>
      <c r="O56" s="3"/>
      <c r="P56" s="3"/>
      <c r="Q56" s="3"/>
      <c r="R56" s="3"/>
      <c r="S56" s="3"/>
      <c r="T56" s="3"/>
      <c r="U56" s="3"/>
      <c r="V56" s="13"/>
      <c r="W56" s="3"/>
      <c r="X56" s="3"/>
      <c r="Y56" s="3"/>
      <c r="Z56" s="3"/>
      <c r="AA56" s="3"/>
      <c r="AB56" s="3"/>
      <c r="AC56" s="3"/>
      <c r="AD56" s="3"/>
      <c r="AE56" s="3"/>
      <c r="AF56" s="3"/>
      <c r="AG56" s="3"/>
      <c r="AH56" s="3"/>
      <c r="AI56" s="3"/>
      <c r="AJ56" s="3"/>
      <c r="AK56" s="13"/>
      <c r="AL56" s="13"/>
      <c r="AM56" s="40"/>
      <c r="AN56" s="40"/>
      <c r="AO56" s="40"/>
      <c r="AP56" s="40"/>
      <c r="AQ56" s="40"/>
      <c r="AR56" s="40"/>
      <c r="AS56" s="40"/>
      <c r="AT56" s="40"/>
      <c r="AU56" s="40"/>
      <c r="AV56" s="40"/>
      <c r="AW56" s="40"/>
      <c r="AX56" s="40"/>
      <c r="AY56" s="36"/>
      <c r="AZ56" s="13"/>
      <c r="BA56" s="13"/>
      <c r="BB56" s="13"/>
      <c r="BC56" s="13"/>
      <c r="BD56" s="13"/>
      <c r="BE56" s="13"/>
      <c r="BF56" s="13"/>
      <c r="BG56" s="13"/>
      <c r="BH56" s="13"/>
      <c r="BI56" s="13"/>
      <c r="BJ56" s="125"/>
    </row>
    <row r="57" spans="1:62" s="200" customFormat="1" ht="15.75" x14ac:dyDescent="0.2">
      <c r="A57" s="125"/>
      <c r="B57" s="3"/>
      <c r="C57" s="3"/>
      <c r="D57" s="3"/>
      <c r="E57" s="3"/>
      <c r="F57" s="3"/>
      <c r="G57" s="3"/>
      <c r="H57" s="15"/>
      <c r="I57" s="3"/>
      <c r="J57" s="3"/>
      <c r="K57" s="3"/>
      <c r="L57" s="3"/>
      <c r="M57" s="3"/>
      <c r="N57" s="3"/>
      <c r="O57" s="3"/>
      <c r="P57" s="3"/>
      <c r="Q57" s="3"/>
      <c r="R57" s="3"/>
      <c r="S57" s="3"/>
      <c r="T57" s="3"/>
      <c r="U57" s="3"/>
      <c r="V57" s="13"/>
      <c r="W57" s="3"/>
      <c r="X57" s="3"/>
      <c r="Y57" s="3"/>
      <c r="Z57" s="3"/>
      <c r="AA57" s="3"/>
      <c r="AB57" s="3"/>
      <c r="AC57" s="3"/>
      <c r="AD57" s="3"/>
      <c r="AE57" s="3"/>
      <c r="AF57" s="3"/>
      <c r="AG57" s="3"/>
      <c r="AH57" s="3"/>
      <c r="AI57" s="3"/>
      <c r="AJ57" s="3"/>
      <c r="AK57" s="13"/>
      <c r="AL57" s="13"/>
      <c r="AM57" s="40"/>
      <c r="AN57" s="40"/>
      <c r="AO57" s="40"/>
      <c r="AP57" s="40"/>
      <c r="AQ57" s="40"/>
      <c r="AR57" s="40"/>
      <c r="AS57" s="40"/>
      <c r="AT57" s="40"/>
      <c r="AU57" s="40"/>
      <c r="AV57" s="40"/>
      <c r="AW57" s="40"/>
      <c r="AX57" s="40"/>
      <c r="AY57" s="36"/>
      <c r="AZ57" s="13"/>
      <c r="BA57" s="13"/>
      <c r="BB57" s="13"/>
      <c r="BC57" s="13"/>
      <c r="BD57" s="13"/>
      <c r="BE57" s="13"/>
      <c r="BF57" s="13"/>
      <c r="BG57" s="13"/>
      <c r="BH57" s="13"/>
      <c r="BI57" s="13"/>
      <c r="BJ57" s="125"/>
    </row>
    <row r="58" spans="1:62" s="200" customFormat="1" ht="15.75" x14ac:dyDescent="0.2">
      <c r="A58" s="125"/>
      <c r="B58" s="3"/>
      <c r="C58" s="3"/>
      <c r="D58" s="3"/>
      <c r="E58" s="3"/>
      <c r="F58" s="3"/>
      <c r="G58" s="3"/>
      <c r="H58" s="15"/>
      <c r="I58" s="3"/>
      <c r="J58" s="3"/>
      <c r="K58" s="3"/>
      <c r="L58" s="3"/>
      <c r="M58" s="3"/>
      <c r="N58" s="3"/>
      <c r="O58" s="3"/>
      <c r="P58" s="3"/>
      <c r="Q58" s="3"/>
      <c r="R58" s="3"/>
      <c r="S58" s="3"/>
      <c r="T58" s="3"/>
      <c r="U58" s="3"/>
      <c r="V58" s="13"/>
      <c r="W58" s="3"/>
      <c r="X58" s="3"/>
      <c r="Y58" s="3"/>
      <c r="Z58" s="3"/>
      <c r="AA58" s="3"/>
      <c r="AB58" s="3"/>
      <c r="AC58" s="3"/>
      <c r="AD58" s="3"/>
      <c r="AE58" s="3"/>
      <c r="AF58" s="3"/>
      <c r="AG58" s="3"/>
      <c r="AH58" s="3"/>
      <c r="AI58" s="3"/>
      <c r="AJ58" s="3"/>
      <c r="AK58" s="13"/>
      <c r="AL58" s="13"/>
      <c r="AM58" s="40"/>
      <c r="AN58" s="40"/>
      <c r="AO58" s="40"/>
      <c r="AP58" s="40"/>
      <c r="AQ58" s="40"/>
      <c r="AR58" s="40"/>
      <c r="AS58" s="40"/>
      <c r="AT58" s="40"/>
      <c r="AU58" s="40"/>
      <c r="AV58" s="40"/>
      <c r="AW58" s="40"/>
      <c r="AX58" s="40"/>
      <c r="AY58" s="36"/>
      <c r="AZ58" s="13"/>
      <c r="BA58" s="13"/>
      <c r="BB58" s="13"/>
      <c r="BC58" s="13"/>
      <c r="BD58" s="13"/>
      <c r="BE58" s="13"/>
      <c r="BF58" s="13"/>
      <c r="BG58" s="13"/>
      <c r="BH58" s="13"/>
      <c r="BI58" s="13"/>
      <c r="BJ58" s="125"/>
    </row>
    <row r="59" spans="1:62" s="200" customFormat="1" ht="15.75" x14ac:dyDescent="0.2">
      <c r="A59" s="125"/>
      <c r="B59" s="3"/>
      <c r="C59" s="3"/>
      <c r="D59" s="3"/>
      <c r="E59" s="3"/>
      <c r="F59" s="3"/>
      <c r="G59" s="3"/>
      <c r="H59" s="15"/>
      <c r="I59" s="3"/>
      <c r="J59" s="3"/>
      <c r="K59" s="3"/>
      <c r="L59" s="3"/>
      <c r="M59" s="3"/>
      <c r="N59" s="3"/>
      <c r="O59" s="3"/>
      <c r="P59" s="3"/>
      <c r="Q59" s="3"/>
      <c r="R59" s="3"/>
      <c r="S59" s="3"/>
      <c r="T59" s="3"/>
      <c r="U59" s="3"/>
      <c r="V59" s="13"/>
      <c r="W59" s="3"/>
      <c r="X59" s="3"/>
      <c r="Y59" s="3"/>
      <c r="Z59" s="3"/>
      <c r="AA59" s="3"/>
      <c r="AB59" s="3"/>
      <c r="AC59" s="3"/>
      <c r="AD59" s="3"/>
      <c r="AE59" s="3"/>
      <c r="AF59" s="3"/>
      <c r="AG59" s="3"/>
      <c r="AH59" s="3"/>
      <c r="AI59" s="3"/>
      <c r="AJ59" s="3"/>
      <c r="AK59" s="13"/>
      <c r="AL59" s="13"/>
      <c r="AM59" s="40"/>
      <c r="AN59" s="40"/>
      <c r="AO59" s="40"/>
      <c r="AP59" s="40"/>
      <c r="AQ59" s="40"/>
      <c r="AR59" s="40"/>
      <c r="AS59" s="40"/>
      <c r="AT59" s="40"/>
      <c r="AU59" s="40"/>
      <c r="AV59" s="40"/>
      <c r="AW59" s="40"/>
      <c r="AX59" s="40"/>
      <c r="AY59" s="36"/>
      <c r="AZ59" s="13"/>
      <c r="BA59" s="13"/>
      <c r="BB59" s="13"/>
      <c r="BC59" s="13"/>
      <c r="BD59" s="13"/>
      <c r="BE59" s="13"/>
      <c r="BF59" s="13"/>
      <c r="BG59" s="13"/>
      <c r="BH59" s="13"/>
      <c r="BI59" s="13"/>
      <c r="BJ59" s="125"/>
    </row>
    <row r="60" spans="1:62" s="200" customFormat="1" ht="15.75" x14ac:dyDescent="0.2">
      <c r="A60" s="125"/>
      <c r="B60" s="3"/>
      <c r="C60" s="3"/>
      <c r="D60" s="3"/>
      <c r="E60" s="3"/>
      <c r="F60" s="3"/>
      <c r="G60" s="3"/>
      <c r="H60" s="15"/>
      <c r="I60" s="3"/>
      <c r="J60" s="3"/>
      <c r="K60" s="3"/>
      <c r="L60" s="3"/>
      <c r="M60" s="3"/>
      <c r="N60" s="3"/>
      <c r="O60" s="3"/>
      <c r="P60" s="3"/>
      <c r="Q60" s="3"/>
      <c r="R60" s="3"/>
      <c r="S60" s="3"/>
      <c r="T60" s="3"/>
      <c r="U60" s="3"/>
      <c r="V60" s="13"/>
      <c r="W60" s="3"/>
      <c r="X60" s="3"/>
      <c r="Y60" s="3"/>
      <c r="Z60" s="3"/>
      <c r="AA60" s="3"/>
      <c r="AB60" s="3"/>
      <c r="AC60" s="3"/>
      <c r="AD60" s="3"/>
      <c r="AE60" s="3"/>
      <c r="AF60" s="3"/>
      <c r="AG60" s="3"/>
      <c r="AH60" s="3"/>
      <c r="AI60" s="3"/>
      <c r="AJ60" s="3"/>
      <c r="AK60" s="13"/>
      <c r="AL60" s="13"/>
      <c r="AM60" s="40"/>
      <c r="AN60" s="40"/>
      <c r="AO60" s="40"/>
      <c r="AP60" s="40"/>
      <c r="AQ60" s="40"/>
      <c r="AR60" s="40"/>
      <c r="AS60" s="40"/>
      <c r="AT60" s="40"/>
      <c r="AU60" s="40"/>
      <c r="AV60" s="40"/>
      <c r="AW60" s="40"/>
      <c r="AX60" s="40"/>
      <c r="AY60" s="36"/>
      <c r="AZ60" s="13"/>
      <c r="BA60" s="13"/>
      <c r="BB60" s="13"/>
      <c r="BC60" s="13"/>
      <c r="BD60" s="13"/>
      <c r="BE60" s="13"/>
      <c r="BF60" s="13"/>
      <c r="BG60" s="13"/>
      <c r="BH60" s="13"/>
      <c r="BI60" s="13"/>
      <c r="BJ60" s="125"/>
    </row>
    <row r="61" spans="1:62" s="200" customFormat="1" ht="15.75" x14ac:dyDescent="0.2">
      <c r="A61" s="125"/>
      <c r="B61" s="3"/>
      <c r="C61" s="3"/>
      <c r="D61" s="3"/>
      <c r="E61" s="3"/>
      <c r="F61" s="3"/>
      <c r="G61" s="3"/>
      <c r="H61" s="15"/>
      <c r="I61" s="3"/>
      <c r="J61" s="3"/>
      <c r="K61" s="3"/>
      <c r="L61" s="3"/>
      <c r="M61" s="3"/>
      <c r="N61" s="3"/>
      <c r="O61" s="3"/>
      <c r="P61" s="3"/>
      <c r="Q61" s="3"/>
      <c r="R61" s="3"/>
      <c r="S61" s="3"/>
      <c r="T61" s="3"/>
      <c r="U61" s="3"/>
      <c r="V61" s="13"/>
      <c r="W61" s="3"/>
      <c r="X61" s="3"/>
      <c r="Y61" s="3"/>
      <c r="Z61" s="3"/>
      <c r="AA61" s="3"/>
      <c r="AB61" s="3"/>
      <c r="AC61" s="3"/>
      <c r="AD61" s="3"/>
      <c r="AE61" s="3"/>
      <c r="AF61" s="3"/>
      <c r="AG61" s="3"/>
      <c r="AH61" s="3"/>
      <c r="AI61" s="3"/>
      <c r="AJ61" s="3"/>
      <c r="AK61" s="13"/>
      <c r="AL61" s="13"/>
      <c r="AM61" s="40"/>
      <c r="AN61" s="40"/>
      <c r="AO61" s="40"/>
      <c r="AP61" s="40"/>
      <c r="AQ61" s="40"/>
      <c r="AR61" s="40"/>
      <c r="AS61" s="40"/>
      <c r="AT61" s="40"/>
      <c r="AU61" s="40"/>
      <c r="AV61" s="40"/>
      <c r="AW61" s="40"/>
      <c r="AX61" s="40"/>
      <c r="AY61" s="36"/>
      <c r="AZ61" s="13"/>
      <c r="BA61" s="13"/>
      <c r="BB61" s="13"/>
      <c r="BC61" s="13"/>
      <c r="BD61" s="13"/>
      <c r="BE61" s="13"/>
      <c r="BF61" s="13"/>
      <c r="BG61" s="13"/>
      <c r="BH61" s="13"/>
      <c r="BI61" s="13"/>
      <c r="BJ61" s="125"/>
    </row>
    <row r="62" spans="1:62" s="200" customFormat="1" ht="15.75" x14ac:dyDescent="0.2">
      <c r="A62" s="125"/>
      <c r="B62" s="3"/>
      <c r="C62" s="3"/>
      <c r="D62" s="3"/>
      <c r="E62" s="3"/>
      <c r="F62" s="3"/>
      <c r="G62" s="3"/>
      <c r="H62" s="15"/>
      <c r="I62" s="3"/>
      <c r="J62" s="3"/>
      <c r="K62" s="3"/>
      <c r="L62" s="3"/>
      <c r="M62" s="3"/>
      <c r="N62" s="3"/>
      <c r="O62" s="3"/>
      <c r="P62" s="3"/>
      <c r="Q62" s="3"/>
      <c r="R62" s="3"/>
      <c r="S62" s="3"/>
      <c r="T62" s="3"/>
      <c r="U62" s="3"/>
      <c r="V62" s="13"/>
      <c r="W62" s="3"/>
      <c r="X62" s="3"/>
      <c r="Y62" s="3"/>
      <c r="Z62" s="3"/>
      <c r="AA62" s="3"/>
      <c r="AB62" s="3"/>
      <c r="AC62" s="3"/>
      <c r="AD62" s="3"/>
      <c r="AE62" s="3"/>
      <c r="AF62" s="3"/>
      <c r="AG62" s="3"/>
      <c r="AH62" s="3"/>
      <c r="AI62" s="3"/>
      <c r="AJ62" s="3"/>
      <c r="AK62" s="13"/>
      <c r="AL62" s="13"/>
      <c r="AM62" s="40"/>
      <c r="AN62" s="40"/>
      <c r="AO62" s="40"/>
      <c r="AP62" s="40"/>
      <c r="AQ62" s="40"/>
      <c r="AR62" s="40"/>
      <c r="AS62" s="40"/>
      <c r="AT62" s="40"/>
      <c r="AU62" s="40"/>
      <c r="AV62" s="40"/>
      <c r="AW62" s="40"/>
      <c r="AX62" s="40"/>
      <c r="AY62" s="36"/>
      <c r="AZ62" s="13"/>
      <c r="BA62" s="13"/>
      <c r="BB62" s="13"/>
      <c r="BC62" s="13"/>
      <c r="BD62" s="13"/>
      <c r="BE62" s="13"/>
      <c r="BF62" s="13"/>
      <c r="BG62" s="13"/>
      <c r="BH62" s="13"/>
      <c r="BI62" s="13"/>
      <c r="BJ62" s="125"/>
    </row>
    <row r="63" spans="1:62" s="200" customFormat="1" ht="15.75" x14ac:dyDescent="0.2">
      <c r="A63" s="125"/>
      <c r="B63" s="3"/>
      <c r="C63" s="3"/>
      <c r="D63" s="3"/>
      <c r="E63" s="3"/>
      <c r="F63" s="3"/>
      <c r="G63" s="3"/>
      <c r="H63" s="15"/>
      <c r="I63" s="3"/>
      <c r="J63" s="3"/>
      <c r="K63" s="3"/>
      <c r="L63" s="3"/>
      <c r="M63" s="3"/>
      <c r="N63" s="3"/>
      <c r="O63" s="3"/>
      <c r="P63" s="3"/>
      <c r="Q63" s="3"/>
      <c r="R63" s="3"/>
      <c r="S63" s="3"/>
      <c r="T63" s="3"/>
      <c r="U63" s="3"/>
      <c r="V63" s="13"/>
      <c r="W63" s="3"/>
      <c r="X63" s="3"/>
      <c r="Y63" s="3"/>
      <c r="Z63" s="3"/>
      <c r="AA63" s="3"/>
      <c r="AB63" s="3"/>
      <c r="AC63" s="3"/>
      <c r="AD63" s="3"/>
      <c r="AE63" s="3"/>
      <c r="AF63" s="3"/>
      <c r="AG63" s="3"/>
      <c r="AH63" s="3"/>
      <c r="AI63" s="3"/>
      <c r="AJ63" s="3"/>
      <c r="AK63" s="13"/>
      <c r="AL63" s="13"/>
      <c r="AM63" s="40"/>
      <c r="AN63" s="40"/>
      <c r="AO63" s="40"/>
      <c r="AP63" s="40"/>
      <c r="AQ63" s="40"/>
      <c r="AR63" s="40"/>
      <c r="AS63" s="40"/>
      <c r="AT63" s="40"/>
      <c r="AU63" s="40"/>
      <c r="AV63" s="40"/>
      <c r="AW63" s="40"/>
      <c r="AX63" s="40"/>
      <c r="AY63" s="36"/>
      <c r="AZ63" s="13"/>
      <c r="BA63" s="13"/>
      <c r="BB63" s="13"/>
      <c r="BC63" s="13"/>
      <c r="BD63" s="13"/>
      <c r="BE63" s="13"/>
      <c r="BF63" s="13"/>
      <c r="BG63" s="13"/>
      <c r="BH63" s="13"/>
      <c r="BI63" s="13"/>
      <c r="BJ63" s="125"/>
    </row>
    <row r="64" spans="1:62" s="200" customFormat="1" ht="15.75" x14ac:dyDescent="0.2">
      <c r="A64" s="125"/>
      <c r="B64" s="3"/>
      <c r="C64" s="3"/>
      <c r="D64" s="3"/>
      <c r="E64" s="3"/>
      <c r="F64" s="3"/>
      <c r="G64" s="3"/>
      <c r="H64" s="15"/>
      <c r="I64" s="3"/>
      <c r="J64" s="3"/>
      <c r="K64" s="3"/>
      <c r="L64" s="3"/>
      <c r="M64" s="3"/>
      <c r="N64" s="3"/>
      <c r="O64" s="3"/>
      <c r="P64" s="3"/>
      <c r="Q64" s="3"/>
      <c r="R64" s="3"/>
      <c r="S64" s="3"/>
      <c r="T64" s="3"/>
      <c r="U64" s="3"/>
      <c r="V64" s="13"/>
      <c r="W64" s="3"/>
      <c r="X64" s="3"/>
      <c r="Y64" s="3"/>
      <c r="Z64" s="3"/>
      <c r="AA64" s="3"/>
      <c r="AB64" s="3"/>
      <c r="AC64" s="3"/>
      <c r="AD64" s="3"/>
      <c r="AE64" s="3"/>
      <c r="AF64" s="3"/>
      <c r="AG64" s="3"/>
      <c r="AH64" s="3"/>
      <c r="AI64" s="3"/>
      <c r="AJ64" s="3"/>
      <c r="AK64" s="13"/>
      <c r="AL64" s="13"/>
      <c r="AM64" s="40"/>
      <c r="AN64" s="40"/>
      <c r="AO64" s="40"/>
      <c r="AP64" s="40"/>
      <c r="AQ64" s="40"/>
      <c r="AR64" s="40"/>
      <c r="AS64" s="40"/>
      <c r="AT64" s="40"/>
      <c r="AU64" s="40"/>
      <c r="AV64" s="40"/>
      <c r="AW64" s="40"/>
      <c r="AX64" s="40"/>
      <c r="AY64" s="36"/>
      <c r="AZ64" s="13"/>
      <c r="BA64" s="13"/>
      <c r="BB64" s="13"/>
      <c r="BC64" s="13"/>
      <c r="BD64" s="13"/>
      <c r="BE64" s="13"/>
      <c r="BF64" s="13"/>
      <c r="BG64" s="13"/>
      <c r="BH64" s="13"/>
      <c r="BI64" s="13"/>
      <c r="BJ64" s="125"/>
    </row>
    <row r="65" spans="1:62" s="200" customFormat="1" ht="15.75" x14ac:dyDescent="0.2">
      <c r="A65" s="125"/>
      <c r="B65" s="3"/>
      <c r="C65" s="3"/>
      <c r="D65" s="3"/>
      <c r="E65" s="3"/>
      <c r="F65" s="3"/>
      <c r="G65" s="3"/>
      <c r="H65" s="15"/>
      <c r="I65" s="3"/>
      <c r="J65" s="3"/>
      <c r="K65" s="3"/>
      <c r="L65" s="3"/>
      <c r="M65" s="3"/>
      <c r="N65" s="3"/>
      <c r="O65" s="3"/>
      <c r="P65" s="3"/>
      <c r="Q65" s="3"/>
      <c r="R65" s="3"/>
      <c r="S65" s="3"/>
      <c r="T65" s="3"/>
      <c r="U65" s="3"/>
      <c r="V65" s="13"/>
      <c r="W65" s="3"/>
      <c r="X65" s="3"/>
      <c r="Y65" s="3"/>
      <c r="Z65" s="3"/>
      <c r="AA65" s="3"/>
      <c r="AB65" s="3"/>
      <c r="AC65" s="3"/>
      <c r="AD65" s="3"/>
      <c r="AE65" s="3"/>
      <c r="AF65" s="3"/>
      <c r="AG65" s="3"/>
      <c r="AH65" s="3"/>
      <c r="AI65" s="3"/>
      <c r="AJ65" s="3"/>
      <c r="AK65" s="13"/>
      <c r="AL65" s="13"/>
      <c r="AM65" s="40"/>
      <c r="AN65" s="40"/>
      <c r="AO65" s="40"/>
      <c r="AP65" s="40"/>
      <c r="AQ65" s="40"/>
      <c r="AR65" s="40"/>
      <c r="AS65" s="40"/>
      <c r="AT65" s="40"/>
      <c r="AU65" s="40"/>
      <c r="AV65" s="40"/>
      <c r="AW65" s="40"/>
      <c r="AX65" s="40"/>
      <c r="AY65" s="36"/>
      <c r="AZ65" s="13"/>
      <c r="BA65" s="13"/>
      <c r="BB65" s="13"/>
      <c r="BC65" s="13"/>
      <c r="BD65" s="13"/>
      <c r="BE65" s="13"/>
      <c r="BF65" s="13"/>
      <c r="BG65" s="13"/>
      <c r="BH65" s="13"/>
      <c r="BI65" s="13"/>
      <c r="BJ65" s="125"/>
    </row>
    <row r="66" spans="1:62" s="200" customFormat="1" ht="15.75" x14ac:dyDescent="0.2">
      <c r="A66" s="125"/>
      <c r="B66" s="3"/>
      <c r="C66" s="3"/>
      <c r="D66" s="3"/>
      <c r="E66" s="3"/>
      <c r="F66" s="3"/>
      <c r="G66" s="3"/>
      <c r="H66" s="15"/>
      <c r="I66" s="3"/>
      <c r="J66" s="3"/>
      <c r="K66" s="3"/>
      <c r="L66" s="3"/>
      <c r="M66" s="3"/>
      <c r="N66" s="3"/>
      <c r="O66" s="3"/>
      <c r="P66" s="3"/>
      <c r="Q66" s="3"/>
      <c r="R66" s="3"/>
      <c r="S66" s="3"/>
      <c r="T66" s="3"/>
      <c r="U66" s="3"/>
      <c r="V66" s="13"/>
      <c r="W66" s="3"/>
      <c r="X66" s="3"/>
      <c r="Y66" s="3"/>
      <c r="Z66" s="3"/>
      <c r="AA66" s="3"/>
      <c r="AB66" s="3"/>
      <c r="AC66" s="3"/>
      <c r="AD66" s="3"/>
      <c r="AE66" s="3"/>
      <c r="AF66" s="3"/>
      <c r="AG66" s="3"/>
      <c r="AH66" s="3"/>
      <c r="AI66" s="3"/>
      <c r="AJ66" s="3"/>
      <c r="AK66" s="13"/>
      <c r="AL66" s="13"/>
      <c r="AM66" s="40"/>
      <c r="AN66" s="40"/>
      <c r="AO66" s="40"/>
      <c r="AP66" s="40"/>
      <c r="AQ66" s="40"/>
      <c r="AR66" s="40"/>
      <c r="AS66" s="40"/>
      <c r="AT66" s="40"/>
      <c r="AU66" s="40"/>
      <c r="AV66" s="40"/>
      <c r="AW66" s="40"/>
      <c r="AX66" s="40"/>
      <c r="AY66" s="36"/>
      <c r="AZ66" s="13"/>
      <c r="BA66" s="13"/>
      <c r="BB66" s="13"/>
      <c r="BC66" s="13"/>
      <c r="BD66" s="13"/>
      <c r="BE66" s="13"/>
      <c r="BF66" s="13"/>
      <c r="BG66" s="13"/>
      <c r="BH66" s="13"/>
      <c r="BI66" s="13"/>
      <c r="BJ66" s="125"/>
    </row>
    <row r="67" spans="1:62" s="200" customFormat="1" ht="15.75" x14ac:dyDescent="0.2">
      <c r="A67" s="125"/>
      <c r="B67" s="3"/>
      <c r="C67" s="3"/>
      <c r="D67" s="3"/>
      <c r="E67" s="3"/>
      <c r="F67" s="3"/>
      <c r="G67" s="3"/>
      <c r="H67" s="15"/>
      <c r="I67" s="3"/>
      <c r="J67" s="3"/>
      <c r="K67" s="3"/>
      <c r="L67" s="3"/>
      <c r="M67" s="3"/>
      <c r="N67" s="3"/>
      <c r="O67" s="3"/>
      <c r="P67" s="3"/>
      <c r="Q67" s="3"/>
      <c r="R67" s="3"/>
      <c r="S67" s="3"/>
      <c r="T67" s="3"/>
      <c r="U67" s="3"/>
      <c r="V67" s="13"/>
      <c r="W67" s="3"/>
      <c r="X67" s="3"/>
      <c r="Y67" s="3"/>
      <c r="Z67" s="3"/>
      <c r="AA67" s="3"/>
      <c r="AB67" s="3"/>
      <c r="AC67" s="3"/>
      <c r="AD67" s="3"/>
      <c r="AE67" s="3"/>
      <c r="AF67" s="3"/>
      <c r="AG67" s="3"/>
      <c r="AH67" s="3"/>
      <c r="AI67" s="3"/>
      <c r="AJ67" s="3"/>
      <c r="AK67" s="13"/>
      <c r="AL67" s="13"/>
      <c r="AM67" s="40"/>
      <c r="AN67" s="40"/>
      <c r="AO67" s="40"/>
      <c r="AP67" s="40"/>
      <c r="AQ67" s="40"/>
      <c r="AR67" s="40"/>
      <c r="AS67" s="40"/>
      <c r="AT67" s="40"/>
      <c r="AU67" s="40"/>
      <c r="AV67" s="40"/>
      <c r="AW67" s="40"/>
      <c r="AX67" s="40"/>
      <c r="AY67" s="36"/>
      <c r="AZ67" s="13"/>
      <c r="BA67" s="13"/>
      <c r="BB67" s="13"/>
      <c r="BC67" s="13"/>
      <c r="BD67" s="13"/>
      <c r="BE67" s="13"/>
      <c r="BF67" s="13"/>
      <c r="BG67" s="13"/>
      <c r="BH67" s="13"/>
      <c r="BI67" s="13"/>
      <c r="BJ67" s="125"/>
    </row>
    <row r="68" spans="1:62" s="200" customFormat="1" ht="15.75" x14ac:dyDescent="0.2">
      <c r="A68" s="125"/>
      <c r="B68" s="3"/>
      <c r="C68" s="3"/>
      <c r="D68" s="3"/>
      <c r="E68" s="3"/>
      <c r="F68" s="3"/>
      <c r="G68" s="3"/>
      <c r="H68" s="15"/>
      <c r="I68" s="3"/>
      <c r="J68" s="3"/>
      <c r="K68" s="3"/>
      <c r="L68" s="3"/>
      <c r="M68" s="3"/>
      <c r="N68" s="3"/>
      <c r="O68" s="3"/>
      <c r="P68" s="3"/>
      <c r="Q68" s="3"/>
      <c r="R68" s="3"/>
      <c r="S68" s="3"/>
      <c r="T68" s="3"/>
      <c r="U68" s="3"/>
      <c r="V68" s="13"/>
      <c r="W68" s="3"/>
      <c r="X68" s="3"/>
      <c r="Y68" s="3"/>
      <c r="Z68" s="3"/>
      <c r="AA68" s="3"/>
      <c r="AB68" s="3"/>
      <c r="AC68" s="3"/>
      <c r="AD68" s="3"/>
      <c r="AE68" s="3"/>
      <c r="AF68" s="3"/>
      <c r="AG68" s="3"/>
      <c r="AH68" s="3"/>
      <c r="AI68" s="3"/>
      <c r="AJ68" s="3"/>
      <c r="AK68" s="13"/>
      <c r="AL68" s="13"/>
      <c r="AM68" s="40"/>
      <c r="AN68" s="40"/>
      <c r="AO68" s="40"/>
      <c r="AP68" s="40"/>
      <c r="AQ68" s="40"/>
      <c r="AR68" s="40"/>
      <c r="AS68" s="40"/>
      <c r="AT68" s="40"/>
      <c r="AU68" s="40"/>
      <c r="AV68" s="40"/>
      <c r="AW68" s="40"/>
      <c r="AX68" s="40"/>
      <c r="AY68" s="36"/>
      <c r="AZ68" s="13"/>
      <c r="BA68" s="13"/>
      <c r="BB68" s="13"/>
      <c r="BC68" s="13"/>
      <c r="BD68" s="13"/>
      <c r="BE68" s="13"/>
      <c r="BF68" s="13"/>
      <c r="BG68" s="13"/>
      <c r="BH68" s="13"/>
      <c r="BI68" s="13"/>
      <c r="BJ68" s="125"/>
    </row>
    <row r="69" spans="1:62" s="200" customFormat="1" ht="15.75" x14ac:dyDescent="0.2">
      <c r="A69" s="125"/>
      <c r="B69" s="3"/>
      <c r="C69" s="3"/>
      <c r="D69" s="3"/>
      <c r="E69" s="3"/>
      <c r="F69" s="3"/>
      <c r="G69" s="3"/>
      <c r="H69" s="15"/>
      <c r="I69" s="3"/>
      <c r="J69" s="3"/>
      <c r="K69" s="3"/>
      <c r="L69" s="3"/>
      <c r="M69" s="3"/>
      <c r="N69" s="3"/>
      <c r="O69" s="3"/>
      <c r="P69" s="3"/>
      <c r="Q69" s="3"/>
      <c r="R69" s="3"/>
      <c r="S69" s="3"/>
      <c r="T69" s="3"/>
      <c r="U69" s="3"/>
      <c r="V69" s="13"/>
      <c r="W69" s="3"/>
      <c r="X69" s="3"/>
      <c r="Y69" s="3"/>
      <c r="Z69" s="3"/>
      <c r="AA69" s="3"/>
      <c r="AB69" s="3"/>
      <c r="AC69" s="3"/>
      <c r="AD69" s="3"/>
      <c r="AE69" s="3"/>
      <c r="AF69" s="3"/>
      <c r="AG69" s="3"/>
      <c r="AH69" s="3"/>
      <c r="AI69" s="3"/>
      <c r="AJ69" s="3"/>
      <c r="AK69" s="13"/>
      <c r="AL69" s="13"/>
      <c r="AM69" s="40"/>
      <c r="AN69" s="40"/>
      <c r="AO69" s="40"/>
      <c r="AP69" s="40"/>
      <c r="AQ69" s="40"/>
      <c r="AR69" s="40"/>
      <c r="AS69" s="40"/>
      <c r="AT69" s="40"/>
      <c r="AU69" s="40"/>
      <c r="AV69" s="40"/>
      <c r="AW69" s="40"/>
      <c r="AX69" s="40"/>
      <c r="AY69" s="36"/>
      <c r="AZ69" s="13"/>
      <c r="BA69" s="13"/>
      <c r="BB69" s="13"/>
      <c r="BC69" s="13"/>
      <c r="BD69" s="13"/>
      <c r="BE69" s="13"/>
      <c r="BF69" s="13"/>
      <c r="BG69" s="13"/>
      <c r="BH69" s="13"/>
      <c r="BI69" s="13"/>
      <c r="BJ69" s="125"/>
    </row>
    <row r="70" spans="1:62" s="200" customFormat="1" ht="15.75" x14ac:dyDescent="0.2">
      <c r="A70" s="125"/>
      <c r="B70" s="3"/>
      <c r="C70" s="3"/>
      <c r="D70" s="3"/>
      <c r="E70" s="3"/>
      <c r="F70" s="3"/>
      <c r="G70" s="3"/>
      <c r="H70" s="15"/>
      <c r="I70" s="3"/>
      <c r="J70" s="3"/>
      <c r="K70" s="3"/>
      <c r="L70" s="3"/>
      <c r="M70" s="3"/>
      <c r="N70" s="3"/>
      <c r="O70" s="3"/>
      <c r="P70" s="3"/>
      <c r="Q70" s="3"/>
      <c r="R70" s="3"/>
      <c r="S70" s="3"/>
      <c r="T70" s="3"/>
      <c r="U70" s="3"/>
      <c r="V70" s="13"/>
      <c r="W70" s="3"/>
      <c r="X70" s="3"/>
      <c r="Y70" s="3"/>
      <c r="Z70" s="3"/>
      <c r="AA70" s="3"/>
      <c r="AB70" s="3"/>
      <c r="AC70" s="3"/>
      <c r="AD70" s="3"/>
      <c r="AE70" s="3"/>
      <c r="AF70" s="3"/>
      <c r="AG70" s="3"/>
      <c r="AH70" s="3"/>
      <c r="AI70" s="3"/>
      <c r="AJ70" s="3"/>
      <c r="AK70" s="13"/>
      <c r="AL70" s="13"/>
      <c r="AM70" s="40"/>
      <c r="AN70" s="40"/>
      <c r="AO70" s="40"/>
      <c r="AP70" s="40"/>
      <c r="AQ70" s="40"/>
      <c r="AR70" s="40"/>
      <c r="AS70" s="40"/>
      <c r="AT70" s="40"/>
      <c r="AU70" s="40"/>
      <c r="AV70" s="40"/>
      <c r="AW70" s="40"/>
      <c r="AX70" s="40"/>
      <c r="AY70" s="36"/>
      <c r="AZ70" s="13"/>
      <c r="BA70" s="13"/>
      <c r="BB70" s="13"/>
      <c r="BC70" s="13"/>
      <c r="BD70" s="13"/>
      <c r="BE70" s="13"/>
      <c r="BF70" s="13"/>
      <c r="BG70" s="13"/>
      <c r="BH70" s="13"/>
      <c r="BI70" s="13"/>
      <c r="BJ70" s="125"/>
    </row>
    <row r="71" spans="1:62" s="200" customFormat="1" ht="15.75" x14ac:dyDescent="0.2">
      <c r="A71" s="125"/>
      <c r="B71" s="3"/>
      <c r="C71" s="3"/>
      <c r="D71" s="3"/>
      <c r="E71" s="3"/>
      <c r="F71" s="3"/>
      <c r="G71" s="3"/>
      <c r="H71" s="15"/>
      <c r="I71" s="3"/>
      <c r="J71" s="3"/>
      <c r="K71" s="3"/>
      <c r="L71" s="3"/>
      <c r="M71" s="3"/>
      <c r="N71" s="3"/>
      <c r="O71" s="3"/>
      <c r="P71" s="3"/>
      <c r="Q71" s="3"/>
      <c r="R71" s="3"/>
      <c r="S71" s="3"/>
      <c r="T71" s="3"/>
      <c r="U71" s="3"/>
      <c r="V71" s="13"/>
      <c r="W71" s="3"/>
      <c r="X71" s="3"/>
      <c r="Y71" s="3"/>
      <c r="Z71" s="3"/>
      <c r="AA71" s="3"/>
      <c r="AB71" s="3"/>
      <c r="AC71" s="3"/>
      <c r="AD71" s="3"/>
      <c r="AE71" s="3"/>
      <c r="AF71" s="3"/>
      <c r="AG71" s="3"/>
      <c r="AH71" s="3"/>
      <c r="AI71" s="3"/>
      <c r="AJ71" s="3"/>
      <c r="AK71" s="13"/>
      <c r="AL71" s="13"/>
      <c r="AM71" s="40"/>
      <c r="AN71" s="40"/>
      <c r="AO71" s="40"/>
      <c r="AP71" s="40"/>
      <c r="AQ71" s="40"/>
      <c r="AR71" s="40"/>
      <c r="AS71" s="40"/>
      <c r="AT71" s="40"/>
      <c r="AU71" s="40"/>
      <c r="AV71" s="40"/>
      <c r="AW71" s="40"/>
      <c r="AX71" s="40"/>
      <c r="AY71" s="36"/>
      <c r="AZ71" s="13"/>
      <c r="BA71" s="13"/>
      <c r="BB71" s="13"/>
      <c r="BC71" s="13"/>
      <c r="BD71" s="13"/>
      <c r="BE71" s="13"/>
      <c r="BF71" s="13"/>
      <c r="BG71" s="13"/>
      <c r="BH71" s="13"/>
      <c r="BI71" s="13"/>
      <c r="BJ71" s="125"/>
    </row>
    <row r="72" spans="1:62" x14ac:dyDescent="0.2">
      <c r="A72" s="201" t="s">
        <v>57</v>
      </c>
      <c r="B72" s="118" t="str">
        <f>CONCATENATE("REALIZATION for ",I5)</f>
        <v>REALIZATION for REFERENCE</v>
      </c>
      <c r="C72" s="119"/>
      <c r="D72" s="119"/>
      <c r="E72" s="117"/>
      <c r="F72" s="117"/>
      <c r="G72" s="117"/>
      <c r="H72" s="3"/>
      <c r="I72" s="118" t="str">
        <f>CONCATENATE("BOOK-END REALIZATIONS for ",X5)</f>
        <v>BOOK-END REALIZATIONS for ALTERNATIVE</v>
      </c>
      <c r="J72" s="142"/>
      <c r="K72" s="127"/>
      <c r="L72" s="119"/>
      <c r="M72" s="119"/>
      <c r="N72" s="118"/>
      <c r="O72" s="118"/>
      <c r="P72" s="118"/>
      <c r="Q72" s="118"/>
      <c r="R72" s="3"/>
      <c r="S72" s="3"/>
      <c r="T72" s="3"/>
      <c r="U72" s="3"/>
      <c r="V72" s="3"/>
      <c r="W72" s="3"/>
      <c r="X72" s="118" t="str">
        <f>CONCATENATE("REALIZATION FOR ",X5," @ EXAMPLE SALES PRICE")</f>
        <v>REALIZATION FOR ALTERNATIVE @ EXAMPLE SALES PRICE</v>
      </c>
      <c r="Y72" s="127"/>
      <c r="Z72" s="119"/>
      <c r="AA72" s="119"/>
      <c r="AB72" s="118"/>
      <c r="AC72" s="118"/>
      <c r="AD72" s="118"/>
      <c r="AE72" s="118"/>
      <c r="AF72" s="118"/>
      <c r="AG72" s="3"/>
      <c r="AH72" s="3"/>
      <c r="AI72" s="3"/>
      <c r="AJ72" s="3"/>
      <c r="AK72" s="13"/>
      <c r="AL72" s="13"/>
      <c r="AM72" s="40"/>
      <c r="AN72" s="40"/>
      <c r="AO72" s="40"/>
      <c r="AP72" s="40"/>
      <c r="AQ72" s="40"/>
      <c r="AR72" s="40"/>
      <c r="AS72" s="40"/>
      <c r="AT72" s="40"/>
      <c r="AU72" s="40"/>
      <c r="AV72" s="40"/>
      <c r="AW72" s="40"/>
      <c r="AX72" s="40"/>
      <c r="AY72" s="36"/>
      <c r="AZ72" s="13"/>
      <c r="BA72" s="13"/>
      <c r="BB72" s="13"/>
      <c r="BC72" s="13"/>
      <c r="BD72" s="13"/>
      <c r="BE72" s="13"/>
      <c r="BF72" s="13"/>
      <c r="BG72" s="13"/>
      <c r="BH72" s="13"/>
      <c r="BI72" s="13"/>
      <c r="BJ72" s="201" t="s">
        <v>57</v>
      </c>
    </row>
    <row r="73" spans="1:62" ht="3" customHeight="1" x14ac:dyDescent="0.2">
      <c r="A73" s="202"/>
      <c r="B73" s="3"/>
      <c r="C73" s="3"/>
      <c r="D73" s="3"/>
      <c r="E73" s="3"/>
      <c r="F73" s="3"/>
      <c r="G73" s="3"/>
      <c r="H73" s="3"/>
      <c r="I73" s="3"/>
      <c r="J73" s="3"/>
      <c r="K73" s="3"/>
      <c r="L73" s="3"/>
      <c r="M73" s="15"/>
      <c r="N73" s="3"/>
      <c r="O73" s="3"/>
      <c r="P73" s="3"/>
      <c r="Q73" s="3"/>
      <c r="R73" s="3"/>
      <c r="S73" s="3"/>
      <c r="T73" s="3"/>
      <c r="U73" s="3"/>
      <c r="V73" s="3"/>
      <c r="W73" s="3"/>
      <c r="X73" s="3"/>
      <c r="Y73" s="3"/>
      <c r="Z73" s="3"/>
      <c r="AA73" s="3"/>
      <c r="AB73" s="3"/>
      <c r="AC73" s="3"/>
      <c r="AD73" s="3"/>
      <c r="AE73" s="3"/>
      <c r="AF73" s="3"/>
      <c r="AG73" s="3"/>
      <c r="AH73" s="3"/>
      <c r="AI73" s="3"/>
      <c r="AJ73" s="3"/>
      <c r="AK73" s="13"/>
      <c r="AL73" s="13"/>
      <c r="AM73" s="40"/>
      <c r="AN73" s="40"/>
      <c r="AO73" s="40"/>
      <c r="AP73" s="40"/>
      <c r="AQ73" s="40"/>
      <c r="AR73" s="40"/>
      <c r="AS73" s="40"/>
      <c r="AT73" s="40"/>
      <c r="AU73" s="40"/>
      <c r="AV73" s="40"/>
      <c r="AW73" s="40"/>
      <c r="AX73" s="40"/>
      <c r="AY73" s="36"/>
      <c r="AZ73" s="13"/>
      <c r="BA73" s="13"/>
      <c r="BB73" s="13"/>
      <c r="BC73" s="13"/>
      <c r="BD73" s="13"/>
      <c r="BE73" s="13"/>
      <c r="BF73" s="13"/>
      <c r="BG73" s="13"/>
      <c r="BH73" s="13"/>
      <c r="BI73" s="13"/>
      <c r="BJ73" s="202"/>
    </row>
    <row r="74" spans="1:62" x14ac:dyDescent="0.2">
      <c r="A74" s="202"/>
      <c r="B74" s="116" t="str">
        <f>CONCATENATE(I5," SALES PRICE")</f>
        <v>REFERENCE SALES PRICE</v>
      </c>
      <c r="C74" s="117"/>
      <c r="D74" s="117"/>
      <c r="E74" s="117"/>
      <c r="F74" s="164">
        <f>M24</f>
        <v>1500</v>
      </c>
      <c r="G74" s="151" t="str">
        <f>N24</f>
        <v>$/TON</v>
      </c>
      <c r="H74" s="3"/>
      <c r="I74" s="116" t="str">
        <f>CONCATENATE("CONVERTER SELLS @ CONSTANT ",F8)</f>
        <v>CONVERTER SELLS @ CONSTANT $/TON</v>
      </c>
      <c r="J74" s="142"/>
      <c r="K74" s="142"/>
      <c r="L74" s="117"/>
      <c r="M74" s="142"/>
      <c r="N74" s="150">
        <f>ROUND(M24,2)</f>
        <v>1500</v>
      </c>
      <c r="O74" s="151" t="str">
        <f>F8</f>
        <v>$/TON</v>
      </c>
      <c r="P74" s="110"/>
      <c r="Q74" s="110"/>
      <c r="R74" s="3"/>
      <c r="S74" s="3"/>
      <c r="T74" s="3"/>
      <c r="U74" s="3"/>
      <c r="V74" s="3"/>
      <c r="W74" s="3"/>
      <c r="X74" s="116" t="str">
        <f>X34</f>
        <v>EXAMPLE SALES PRICE for ALTERNATIVE</v>
      </c>
      <c r="Y74" s="142"/>
      <c r="Z74" s="117"/>
      <c r="AA74" s="142"/>
      <c r="AB74" s="89">
        <f>ROUND(AB34,2)</f>
        <v>1750</v>
      </c>
      <c r="AC74" s="110" t="str">
        <f>F8</f>
        <v>$/TON</v>
      </c>
      <c r="AD74" s="110"/>
      <c r="AE74" s="110"/>
      <c r="AF74" s="110"/>
      <c r="AG74" s="3"/>
      <c r="AH74" s="3"/>
      <c r="AI74" s="3"/>
      <c r="AJ74" s="3"/>
      <c r="AK74" s="13"/>
      <c r="AL74" s="13"/>
      <c r="AM74" s="40"/>
      <c r="AN74" s="40"/>
      <c r="AO74" s="40"/>
      <c r="AP74" s="40"/>
      <c r="AQ74" s="40"/>
      <c r="AR74" s="40"/>
      <c r="AS74" s="40"/>
      <c r="AT74" s="40"/>
      <c r="AU74" s="40"/>
      <c r="AV74" s="40"/>
      <c r="AW74" s="40"/>
      <c r="AX74" s="40"/>
      <c r="AY74" s="36"/>
      <c r="AZ74" s="13"/>
      <c r="BA74" s="13"/>
      <c r="BB74" s="13"/>
      <c r="BC74" s="13"/>
      <c r="BD74" s="13"/>
      <c r="BE74" s="13"/>
      <c r="BF74" s="13"/>
      <c r="BG74" s="13"/>
      <c r="BH74" s="13"/>
      <c r="BI74" s="13"/>
      <c r="BJ74" s="202"/>
    </row>
    <row r="75" spans="1:62" x14ac:dyDescent="0.2">
      <c r="A75" s="202"/>
      <c r="B75" s="110"/>
      <c r="C75" s="110"/>
      <c r="D75" s="110"/>
      <c r="E75" s="102" t="str">
        <f>CONCATENATE("( ",ROUND(F74,2)," ",G74," * ",ROUND(K35,2)," ",I35," ) / 1000 =")</f>
        <v>( 1500 $/TON * 93.04 KG / 1000 sq m ) / 1000 =</v>
      </c>
      <c r="F75" s="150">
        <f>ROUND(F74*K35/1000,3)</f>
        <v>139.56700000000001</v>
      </c>
      <c r="G75" s="151" t="str">
        <f>I33</f>
        <v>$ per 1000 sq m</v>
      </c>
      <c r="H75" s="3"/>
      <c r="K75" s="93"/>
      <c r="L75" s="93"/>
      <c r="M75" s="102" t="str">
        <f>CONCATENATE("( ",N74," ",O74," * ",ROUND(M35,2)," ",I35," ) / 1000 =")</f>
        <v>( 1500 $/TON * 69.59 KG / 1000 sq m ) / 1000 =</v>
      </c>
      <c r="N75" s="89">
        <f>ROUND(N74*M35/1000,3)</f>
        <v>104.38500000000001</v>
      </c>
      <c r="O75" s="110" t="str">
        <f>I33</f>
        <v>$ per 1000 sq m</v>
      </c>
      <c r="P75" s="110"/>
      <c r="Q75" s="110"/>
      <c r="R75" s="3"/>
      <c r="S75" s="3"/>
      <c r="T75" s="3"/>
      <c r="U75" s="3"/>
      <c r="V75" s="3"/>
      <c r="W75" s="3"/>
      <c r="Y75" s="93"/>
      <c r="Z75" s="93"/>
      <c r="AA75" s="102" t="str">
        <f>CONCATENATE("( ",AB74," ",AC74," * ",ROUND(M35,2)," ",I35," ) / 1000 =")</f>
        <v>( 1750 $/TON * 69.59 KG / 1000 sq m ) / 1000 =</v>
      </c>
      <c r="AB75" s="89">
        <f>ROUND(AB74*M35/1000,3)</f>
        <v>121.783</v>
      </c>
      <c r="AC75" s="110" t="str">
        <f>I33</f>
        <v>$ per 1000 sq m</v>
      </c>
      <c r="AD75" s="110"/>
      <c r="AE75" s="110"/>
      <c r="AF75" s="110"/>
      <c r="AG75" s="3"/>
      <c r="AH75" s="3"/>
      <c r="AI75" s="3"/>
      <c r="AJ75" s="3"/>
      <c r="AK75" s="13"/>
      <c r="AL75" s="13"/>
      <c r="AM75" s="40"/>
      <c r="AN75" s="40"/>
      <c r="AO75" s="40"/>
      <c r="AP75" s="40"/>
      <c r="AQ75" s="40"/>
      <c r="AR75" s="40"/>
      <c r="AS75" s="40"/>
      <c r="AT75" s="40"/>
      <c r="AU75" s="40"/>
      <c r="AV75" s="40"/>
      <c r="AW75" s="40"/>
      <c r="AX75" s="40"/>
      <c r="AY75" s="36"/>
      <c r="AZ75" s="13"/>
      <c r="BA75" s="13"/>
      <c r="BB75" s="13"/>
      <c r="BC75" s="13"/>
      <c r="BD75" s="13"/>
      <c r="BE75" s="13"/>
      <c r="BF75" s="13"/>
      <c r="BG75" s="13"/>
      <c r="BH75" s="13"/>
      <c r="BI75" s="13"/>
      <c r="BJ75" s="202"/>
    </row>
    <row r="76" spans="1:62" ht="3" customHeight="1" thickBot="1" x14ac:dyDescent="0.25">
      <c r="A76" s="202"/>
      <c r="B76" s="110"/>
      <c r="C76" s="110"/>
      <c r="D76" s="110"/>
      <c r="E76" s="102"/>
      <c r="F76" s="89"/>
      <c r="G76" s="110"/>
      <c r="H76" s="3"/>
      <c r="K76" s="93"/>
      <c r="L76" s="93"/>
      <c r="M76" s="102"/>
      <c r="N76" s="89"/>
      <c r="O76" s="110"/>
      <c r="P76" s="110"/>
      <c r="Q76" s="110"/>
      <c r="R76" s="3"/>
      <c r="S76" s="3"/>
      <c r="T76" s="3"/>
      <c r="U76" s="3"/>
      <c r="V76" s="3"/>
      <c r="W76" s="3"/>
      <c r="Y76" s="93"/>
      <c r="Z76" s="93"/>
      <c r="AA76" s="102"/>
      <c r="AB76" s="89"/>
      <c r="AC76" s="110"/>
      <c r="AD76" s="110"/>
      <c r="AE76" s="110"/>
      <c r="AF76" s="110"/>
      <c r="AG76" s="3"/>
      <c r="AH76" s="3"/>
      <c r="AI76" s="3"/>
      <c r="AJ76" s="3"/>
      <c r="AK76" s="13"/>
      <c r="AL76" s="13"/>
      <c r="AM76" s="40"/>
      <c r="AN76" s="40"/>
      <c r="AO76" s="40"/>
      <c r="AP76" s="40"/>
      <c r="AQ76" s="40"/>
      <c r="AR76" s="40"/>
      <c r="AS76" s="40"/>
      <c r="AT76" s="40"/>
      <c r="AU76" s="40"/>
      <c r="AV76" s="40"/>
      <c r="AW76" s="40"/>
      <c r="AX76" s="40"/>
      <c r="AY76" s="36"/>
      <c r="AZ76" s="13"/>
      <c r="BA76" s="13"/>
      <c r="BB76" s="13"/>
      <c r="BC76" s="13"/>
      <c r="BD76" s="13"/>
      <c r="BE76" s="13"/>
      <c r="BF76" s="13"/>
      <c r="BG76" s="13"/>
      <c r="BH76" s="13"/>
      <c r="BI76" s="13"/>
      <c r="BJ76" s="202"/>
    </row>
    <row r="77" spans="1:62" ht="13.5" thickBot="1" x14ac:dyDescent="0.25">
      <c r="A77" s="202"/>
      <c r="B77" s="168" t="str">
        <f>CONCATENATE("CONVERTER BENEFITS - ON ",M22,N22," BUSINESS")</f>
        <v>CONVERTER BENEFITS - ON 1KT BUSINESS</v>
      </c>
      <c r="C77" s="169"/>
      <c r="D77" s="169"/>
      <c r="E77" s="170"/>
      <c r="F77" s="170"/>
      <c r="G77" s="170"/>
      <c r="H77" s="3"/>
      <c r="I77" s="168" t="str">
        <f>CONCATENATE("CONVERTER BENEFITS - ON ",ROUND(AB23,2),N22," BUSINESS")</f>
        <v>CONVERTER BENEFITS - ON 1KT BUSINESS</v>
      </c>
      <c r="J77" s="169"/>
      <c r="K77" s="175"/>
      <c r="L77" s="175"/>
      <c r="M77" s="172"/>
      <c r="N77" s="169"/>
      <c r="O77" s="168" t="str">
        <f>CONCATENATE("D% vs. ",I5)</f>
        <v>D% vs. REFERENCE</v>
      </c>
      <c r="P77" s="169"/>
      <c r="Q77" s="169"/>
      <c r="R77" s="3"/>
      <c r="S77" s="3"/>
      <c r="T77" s="3"/>
      <c r="U77" s="3"/>
      <c r="V77" s="3"/>
      <c r="W77" s="3"/>
      <c r="X77" s="168" t="str">
        <f>CONCATENATE("CONVERTER BENEFITS - ON ",ROUND(AB23,2),AC23," BUSINESS")</f>
        <v>CONVERTER BENEFITS - ON 1KT BUSINESS</v>
      </c>
      <c r="Y77" s="169"/>
      <c r="Z77" s="175"/>
      <c r="AA77" s="175"/>
      <c r="AB77" s="172"/>
      <c r="AC77" s="169"/>
      <c r="AD77" s="168" t="str">
        <f>CONCATENATE("D% vs. ",I5)</f>
        <v>D% vs. REFERENCE</v>
      </c>
      <c r="AE77" s="169"/>
      <c r="AF77" s="169"/>
      <c r="AG77" s="103"/>
      <c r="AH77" s="103"/>
      <c r="AI77" s="103"/>
      <c r="AJ77" s="103"/>
      <c r="AK77" s="13"/>
      <c r="AL77" s="13"/>
      <c r="AM77" s="13"/>
      <c r="AN77" s="13"/>
      <c r="AO77" s="13"/>
      <c r="AP77" s="13"/>
      <c r="AQ77" s="13"/>
      <c r="AR77" s="13"/>
      <c r="AS77" s="13"/>
      <c r="AT77" s="13"/>
      <c r="AU77" s="13"/>
      <c r="AV77" s="13"/>
      <c r="AW77" s="13"/>
      <c r="AX77" s="13"/>
      <c r="AY77" s="13"/>
      <c r="AZ77" s="13"/>
      <c r="BA77" s="13"/>
      <c r="BB77" s="13"/>
      <c r="BC77" s="13"/>
      <c r="BD77" s="13"/>
      <c r="BE77" s="13"/>
      <c r="BF77" s="13"/>
      <c r="BG77" s="13"/>
      <c r="BH77" s="13"/>
      <c r="BI77" s="13"/>
      <c r="BJ77" s="202"/>
    </row>
    <row r="78" spans="1:62" ht="15.75" x14ac:dyDescent="0.2">
      <c r="A78" s="202"/>
      <c r="B78" s="177" t="s">
        <v>53</v>
      </c>
      <c r="C78" s="27"/>
      <c r="D78" s="110"/>
      <c r="E78" s="102" t="str">
        <f>CONCATENATE(Z30,N22," * ",ROUND(M24,2),I36," =")</f>
        <v>1KT * 1500$/TON =</v>
      </c>
      <c r="F78" s="111">
        <f>ROUND((M22*M24)/LOOKUP(1,J28:J30,L28:L30),3)</f>
        <v>1.5</v>
      </c>
      <c r="G78" s="160" t="str">
        <f>CONCATENATE(LOOKUP(1,J28:J30,M28:M30)," pa")</f>
        <v>M$ pa</v>
      </c>
      <c r="H78" s="3"/>
      <c r="I78" s="177" t="s">
        <v>53</v>
      </c>
      <c r="J78" s="27"/>
      <c r="K78" s="93"/>
      <c r="L78" s="96" t="str">
        <f>CONCATENATE(AB23,N22," * ",ROUND(N74,2),I36," =")</f>
        <v>1KT * 1500$/TON =</v>
      </c>
      <c r="M78" s="97">
        <f>ROUND((AB23*N74)/LOOKUP(1,J28:J30,L28:L30),3)</f>
        <v>1.5</v>
      </c>
      <c r="N78" s="30" t="str">
        <f>CONCATENATE(LOOKUP(1,J28:J30,M28:M30)," pa")</f>
        <v>M$ pa</v>
      </c>
      <c r="O78" s="95">
        <f>IF(M78&lt;&gt;0,M78/F78-1,"")</f>
        <v>0</v>
      </c>
      <c r="P78" s="167" t="str">
        <f>IF(OR(O78=0,O78=""),"",IF(O78&lt;0,"DECREASE","INCREASE"))</f>
        <v/>
      </c>
      <c r="Q78" s="149"/>
      <c r="R78" s="3"/>
      <c r="S78" s="3"/>
      <c r="T78" s="3"/>
      <c r="U78" s="3"/>
      <c r="V78" s="3"/>
      <c r="W78" s="3"/>
      <c r="X78" s="178" t="s">
        <v>53</v>
      </c>
      <c r="Y78" s="27"/>
      <c r="Z78" s="93"/>
      <c r="AA78" s="96" t="str">
        <f>CONCATENATE(AB23,N22," * ",ROUND(AB74,2),I36," =")</f>
        <v>1KT * 1750$/TON =</v>
      </c>
      <c r="AB78" s="97">
        <f>ROUND((AB23*AB74)/LOOKUP(1,J28:J30,L28:L30),3)</f>
        <v>1.75</v>
      </c>
      <c r="AC78" s="30" t="str">
        <f>CONCATENATE(LOOKUP(1,J28:J30,M28:M30)," pa")</f>
        <v>M$ pa</v>
      </c>
      <c r="AD78" s="95">
        <f>IF(AB78&lt;&gt;0,AB78/F78-1,"")</f>
        <v>0.16666666666666674</v>
      </c>
      <c r="AE78" s="167" t="str">
        <f>IF(OR(AD78=0,AD78=""),"",IF(AD78&lt;0,"DECREASE","INCREASE"))</f>
        <v>INCREASE</v>
      </c>
      <c r="AG78" s="103"/>
      <c r="AH78" s="103"/>
      <c r="AI78" s="103"/>
      <c r="AJ78" s="103"/>
      <c r="AK78" s="126"/>
      <c r="AL78" s="126"/>
      <c r="AM78" s="126"/>
      <c r="AN78" s="126"/>
      <c r="AO78" s="124"/>
      <c r="AP78" s="124"/>
      <c r="AQ78" s="124"/>
      <c r="AR78" s="124"/>
      <c r="AS78" s="124"/>
      <c r="AT78" s="124"/>
      <c r="AU78" s="124"/>
      <c r="AV78" s="124"/>
      <c r="AW78" s="124"/>
      <c r="AX78" s="124"/>
      <c r="AY78" s="124"/>
      <c r="AZ78" s="124"/>
      <c r="BA78" s="124"/>
      <c r="BB78" s="124"/>
      <c r="BC78" s="124"/>
      <c r="BD78" s="124"/>
      <c r="BE78" s="124"/>
      <c r="BF78" s="124"/>
      <c r="BG78" s="124"/>
      <c r="BH78" s="124"/>
      <c r="BI78" s="124"/>
      <c r="BJ78" s="202"/>
    </row>
    <row r="79" spans="1:62" x14ac:dyDescent="0.2">
      <c r="A79" s="202"/>
      <c r="B79" s="177" t="s">
        <v>51</v>
      </c>
      <c r="C79" s="27"/>
      <c r="D79" s="110"/>
      <c r="E79" s="102" t="str">
        <f>CONCATENATE(ROUND(Z30,2),N22," * ",ROUND(K36,2),I36," =")</f>
        <v>1KT * 1215$/TON =</v>
      </c>
      <c r="F79" s="111">
        <f>ROUND((-M22*K36)/LOOKUP(1,J28:J30,L28:L30),3)</f>
        <v>-1.2150000000000001</v>
      </c>
      <c r="G79" s="160" t="str">
        <f>CONCATENATE(LOOKUP(1,J28:J30,M28:M30)," pa")</f>
        <v>M$ pa</v>
      </c>
      <c r="H79" s="3"/>
      <c r="I79" s="177" t="s">
        <v>51</v>
      </c>
      <c r="J79" s="27"/>
      <c r="K79" s="16"/>
      <c r="L79" s="96" t="str">
        <f>CONCATENATE(AB23,N22," * ",ROUND(M36,2),I36," =")</f>
        <v>1KT * 1250$/TON =</v>
      </c>
      <c r="M79" s="98">
        <f>ROUND((-AB23*M36)/LOOKUP(1,J28:J30,L28:L30),3)</f>
        <v>-1.25</v>
      </c>
      <c r="N79" s="30" t="str">
        <f>CONCATENATE(LOOKUP(1,J28:J30,M28:M30)," pa")</f>
        <v>M$ pa</v>
      </c>
      <c r="O79" s="95">
        <f>IF(M79&lt;&gt;0,M79/F79-1,"")</f>
        <v>2.8806584362139898E-2</v>
      </c>
      <c r="P79" s="167" t="str">
        <f t="shared" ref="P79:P82" si="11">IF(OR(O79=0,O79=""),"",IF(O79&lt;0,"DECREASE","INCREASE"))</f>
        <v>INCREASE</v>
      </c>
      <c r="Q79" s="149"/>
      <c r="R79" s="3"/>
      <c r="S79" s="3"/>
      <c r="T79" s="3"/>
      <c r="U79" s="3"/>
      <c r="V79" s="3"/>
      <c r="W79" s="3"/>
      <c r="X79" s="178" t="s">
        <v>51</v>
      </c>
      <c r="Y79" s="27"/>
      <c r="Z79" s="16"/>
      <c r="AA79" s="96" t="str">
        <f>CONCATENATE(AB23,N22," * ",ROUND(M36,2),I36," =")</f>
        <v>1KT * 1250$/TON =</v>
      </c>
      <c r="AB79" s="98">
        <f>ROUND((-AB23*M36)/LOOKUP(1,J28:J30,L28:L30),3)</f>
        <v>-1.25</v>
      </c>
      <c r="AC79" s="30" t="str">
        <f>CONCATENATE(LOOKUP(1,J28:J30,M28:M30)," pa")</f>
        <v>M$ pa</v>
      </c>
      <c r="AD79" s="95">
        <f>IF(AB79&lt;&gt;0,AB79/F79-1,"")</f>
        <v>2.8806584362139898E-2</v>
      </c>
      <c r="AE79" s="167" t="str">
        <f>IF(OR(AD79=0,AD79=""),"",IF(AD79&lt;0,"DECREASE","INCREASE"))</f>
        <v>INCREASE</v>
      </c>
      <c r="AG79" s="103"/>
      <c r="AH79" s="103"/>
      <c r="AI79" s="103"/>
      <c r="AJ79" s="103"/>
      <c r="AK79" s="13"/>
      <c r="AL79" s="13"/>
      <c r="AM79" s="13"/>
      <c r="AN79" s="13"/>
      <c r="AO79" s="13"/>
      <c r="AP79" s="13"/>
      <c r="AQ79" s="13"/>
      <c r="AR79" s="13"/>
      <c r="AS79" s="13"/>
      <c r="AT79" s="13"/>
      <c r="AU79" s="13"/>
      <c r="AV79" s="13"/>
      <c r="AW79" s="13"/>
      <c r="AX79" s="13"/>
      <c r="AY79" s="13"/>
      <c r="AZ79" s="13"/>
      <c r="BA79" s="12"/>
      <c r="BB79" s="12"/>
      <c r="BC79" s="12"/>
      <c r="BD79" s="12"/>
      <c r="BE79" s="12"/>
      <c r="BF79" s="12"/>
      <c r="BG79" s="12"/>
      <c r="BH79" s="12"/>
      <c r="BI79" s="12"/>
      <c r="BJ79" s="202"/>
    </row>
    <row r="80" spans="1:62" x14ac:dyDescent="0.2">
      <c r="A80" s="202"/>
      <c r="B80" s="177" t="s">
        <v>52</v>
      </c>
      <c r="C80" s="27"/>
      <c r="D80" s="110"/>
      <c r="E80" s="102" t="str">
        <f>CONCATENATE(M26,"/365 * ",Z30,N22," * ",ROUND(K36,2),I36," =")</f>
        <v>30/365 * 1KT * 1215$/TON =</v>
      </c>
      <c r="F80" s="111">
        <f>ROUND(M26/365*(F79),10)</f>
        <v>-9.9863013700000003E-2</v>
      </c>
      <c r="G80" s="160" t="str">
        <f>CONCATENATE(LOOKUP(1,J28:J30,M28:M30)," pa")</f>
        <v>M$ pa</v>
      </c>
      <c r="H80" s="3"/>
      <c r="I80" s="177" t="s">
        <v>52</v>
      </c>
      <c r="J80" s="27"/>
      <c r="K80" s="16"/>
      <c r="L80" s="96" t="str">
        <f>CONCATENATE(M26,"/365 * ",AB23,N22," * ",ROUND(M36,2),I36," =")</f>
        <v>30/365 * 1KT * 1250$/TON =</v>
      </c>
      <c r="M80" s="98">
        <f>ROUND(M26/365*(M79),10)</f>
        <v>-0.102739726</v>
      </c>
      <c r="N80" s="30" t="str">
        <f>CONCATENATE(LOOKUP(1,J28:J30,M28:M30)," pa")</f>
        <v>M$ pa</v>
      </c>
      <c r="O80" s="95">
        <f>IF(M80&lt;&gt;0,M80/F80-1,"")</f>
        <v>2.8806584073678865E-2</v>
      </c>
      <c r="P80" s="167" t="str">
        <f t="shared" si="11"/>
        <v>INCREASE</v>
      </c>
      <c r="Q80" s="149"/>
      <c r="R80" s="3"/>
      <c r="S80" s="3"/>
      <c r="T80" s="3"/>
      <c r="U80" s="3"/>
      <c r="V80" s="3"/>
      <c r="W80" s="3"/>
      <c r="X80" s="178" t="s">
        <v>52</v>
      </c>
      <c r="Y80" s="27"/>
      <c r="Z80" s="16"/>
      <c r="AA80" s="96" t="str">
        <f>CONCATENATE(M26,"/365 * ",AB23,N22," * ",ROUND(M36,2),I36," =")</f>
        <v>30/365 * 1KT * 1250$/TON =</v>
      </c>
      <c r="AB80" s="98">
        <f>ROUND(M26/365*(AB79),10)</f>
        <v>-0.102739726</v>
      </c>
      <c r="AC80" s="30" t="str">
        <f>CONCATENATE(LOOKUP(1,J28:J30,M28:M30)," pa")</f>
        <v>M$ pa</v>
      </c>
      <c r="AD80" s="95">
        <f>IF(AB80&lt;&gt;0,AB80/F80-1,"")</f>
        <v>2.8806584073678865E-2</v>
      </c>
      <c r="AE80" s="167" t="str">
        <f t="shared" ref="AE80:AE82" si="12">IF(OR(AD80=0,AD80=""),"",IF(AD80&lt;0,"DECREASE","INCREASE"))</f>
        <v>INCREASE</v>
      </c>
      <c r="AG80" s="103"/>
      <c r="AH80" s="103"/>
      <c r="AI80" s="103"/>
      <c r="AJ80" s="103"/>
      <c r="AK80" s="32"/>
      <c r="AL80" s="13"/>
      <c r="AM80" s="32"/>
      <c r="AN80" s="32"/>
      <c r="AO80" s="32"/>
      <c r="AP80" s="32"/>
      <c r="AQ80" s="32"/>
      <c r="AR80" s="32"/>
      <c r="AS80" s="32"/>
      <c r="AT80" s="32"/>
      <c r="AU80" s="32"/>
      <c r="AV80" s="32"/>
      <c r="AW80" s="32"/>
      <c r="AX80" s="32"/>
      <c r="AY80" s="32"/>
      <c r="AZ80" s="6"/>
      <c r="BA80" s="13"/>
      <c r="BB80" s="13"/>
      <c r="BC80" s="13"/>
      <c r="BD80" s="13"/>
      <c r="BE80" s="13"/>
      <c r="BF80" s="13"/>
      <c r="BG80" s="13"/>
      <c r="BH80" s="13"/>
      <c r="BI80" s="13"/>
      <c r="BJ80" s="202"/>
    </row>
    <row r="81" spans="1:62" x14ac:dyDescent="0.2">
      <c r="A81" s="202"/>
      <c r="B81" s="178" t="s">
        <v>56</v>
      </c>
      <c r="C81" s="27"/>
      <c r="D81" s="113"/>
      <c r="E81" s="102" t="str">
        <f>CONCATENATE(M22,N22," * ",M27,N27," =")</f>
        <v>1KT * 100$/TON =</v>
      </c>
      <c r="F81" s="114">
        <f>ROUND((-M22)*M27/LOOKUP(1,J28:J30,L28:L30),3)</f>
        <v>-0.1</v>
      </c>
      <c r="G81" s="161" t="str">
        <f>CONCATENATE(LOOKUP(1,J28:J30,M28:M30)," pa")</f>
        <v>M$ pa</v>
      </c>
      <c r="H81" s="3"/>
      <c r="I81" s="178" t="s">
        <v>56</v>
      </c>
      <c r="J81" s="27"/>
      <c r="K81" s="16"/>
      <c r="L81" s="96" t="str">
        <f>CONCATENATE(AB23,AC23," * ",M27,N27," =")</f>
        <v>1KT * 100$/TON =</v>
      </c>
      <c r="M81" s="100">
        <f>ROUND((-AB23)*M27/LOOKUP(1,J28:J30,L28:L30),3)</f>
        <v>-0.1</v>
      </c>
      <c r="N81" s="101" t="str">
        <f>CONCATENATE(LOOKUP(1,J28:J30,M28:M30)," pa")</f>
        <v>M$ pa</v>
      </c>
      <c r="O81" s="95">
        <f>IF(M81&lt;&gt;0,M81/F81-1,"")</f>
        <v>0</v>
      </c>
      <c r="P81" s="167" t="str">
        <f t="shared" si="11"/>
        <v/>
      </c>
      <c r="Q81" s="149"/>
      <c r="R81" s="3"/>
      <c r="S81" s="3"/>
      <c r="T81" s="3"/>
      <c r="U81" s="3"/>
      <c r="V81" s="3"/>
      <c r="W81" s="3"/>
      <c r="X81" s="178" t="s">
        <v>56</v>
      </c>
      <c r="Y81" s="27"/>
      <c r="Z81" s="16"/>
      <c r="AA81" s="96" t="str">
        <f>CONCATENATE(AB23,AC23," * ",M27,N27," =")</f>
        <v>1KT * 100$/TON =</v>
      </c>
      <c r="AB81" s="100">
        <f>ROUND((-AB23)*M27/LOOKUP(1,J28:J30,L28:L30),3)</f>
        <v>-0.1</v>
      </c>
      <c r="AC81" s="101" t="str">
        <f>CONCATENATE(LOOKUP(1,J28:J30,M28:M30)," pa")</f>
        <v>M$ pa</v>
      </c>
      <c r="AD81" s="95">
        <f>IF(AB81&lt;&gt;0,AB81/F81-1,"")</f>
        <v>0</v>
      </c>
      <c r="AE81" s="167" t="str">
        <f t="shared" si="12"/>
        <v/>
      </c>
      <c r="AG81" s="103"/>
      <c r="AH81" s="103"/>
      <c r="AI81" s="103"/>
      <c r="AJ81" s="103"/>
      <c r="AK81" s="12"/>
      <c r="AL81" s="13"/>
      <c r="AM81" s="12"/>
      <c r="AN81" s="12"/>
      <c r="AO81" s="12"/>
      <c r="AP81" s="12"/>
      <c r="AQ81" s="12"/>
      <c r="AR81" s="12"/>
      <c r="AS81" s="12"/>
      <c r="AT81" s="12"/>
      <c r="AU81" s="12"/>
      <c r="AV81" s="12"/>
      <c r="AW81" s="12"/>
      <c r="AX81" s="12"/>
      <c r="AY81" s="12"/>
      <c r="AZ81" s="12"/>
      <c r="BA81" s="12"/>
      <c r="BB81" s="12"/>
      <c r="BC81" s="12"/>
      <c r="BD81" s="12"/>
      <c r="BE81" s="12"/>
      <c r="BF81" s="12"/>
      <c r="BG81" s="12"/>
      <c r="BH81" s="12"/>
      <c r="BI81" s="12"/>
      <c r="BJ81" s="202"/>
    </row>
    <row r="82" spans="1:62" x14ac:dyDescent="0.2">
      <c r="A82" s="202"/>
      <c r="C82" s="27"/>
      <c r="D82" s="143"/>
      <c r="E82" s="179" t="s">
        <v>90</v>
      </c>
      <c r="F82" s="152">
        <f>SUM(F78,F79,F80,F81)</f>
        <v>8.5136986299999912E-2</v>
      </c>
      <c r="G82" s="162" t="str">
        <f>CONCATENATE(LOOKUP(1,J28:J30,M28:M30)," pa")</f>
        <v>M$ pa</v>
      </c>
      <c r="H82" s="3"/>
      <c r="I82" s="149"/>
      <c r="J82" s="27"/>
      <c r="K82" s="143"/>
      <c r="L82" s="179" t="s">
        <v>90</v>
      </c>
      <c r="M82" s="156">
        <f>SUM(M78:M81)</f>
        <v>4.7260273999999991E-2</v>
      </c>
      <c r="N82" s="155" t="str">
        <f>CONCATENATE(LOOKUP(1,J28:J30,M28:M30)," pa")</f>
        <v>M$ pa</v>
      </c>
      <c r="O82" s="157">
        <f>IF(M82&lt;&gt;0,M82/F82-1,"")</f>
        <v>-0.44489139146331236</v>
      </c>
      <c r="P82" s="166" t="str">
        <f t="shared" si="11"/>
        <v>DECREASE</v>
      </c>
      <c r="Q82" s="149"/>
      <c r="R82" s="3"/>
      <c r="S82" s="3"/>
      <c r="T82" s="3"/>
      <c r="U82" s="3"/>
      <c r="V82" s="3"/>
      <c r="W82" s="3"/>
      <c r="X82" s="149"/>
      <c r="Y82" s="27"/>
      <c r="Z82" s="143"/>
      <c r="AA82" s="179" t="s">
        <v>90</v>
      </c>
      <c r="AB82" s="156">
        <f>SUM(AB78:AB81)</f>
        <v>0.29726027399999999</v>
      </c>
      <c r="AC82" s="155" t="str">
        <f>CONCATENATE(LOOKUP(1,J28:J30,M28:M30)," pa")</f>
        <v>M$ pa</v>
      </c>
      <c r="AD82" s="157">
        <f>IF(AB82&lt;&gt;0,AB82/F82-1,"")</f>
        <v>2.491552695470503</v>
      </c>
      <c r="AE82" s="166" t="str">
        <f t="shared" si="12"/>
        <v>INCREASE</v>
      </c>
      <c r="AF82" s="159"/>
      <c r="AG82" s="103"/>
      <c r="AH82" s="103"/>
      <c r="AI82" s="103"/>
      <c r="AJ82" s="103"/>
      <c r="AK82" s="13"/>
      <c r="AL82" s="13"/>
      <c r="AM82" s="13"/>
      <c r="AN82" s="13"/>
      <c r="AO82" s="92"/>
      <c r="AP82" s="92"/>
      <c r="AQ82" s="92"/>
      <c r="AR82" s="92"/>
      <c r="AS82" s="92"/>
      <c r="AT82" s="92"/>
      <c r="AU82" s="92"/>
      <c r="AV82" s="92"/>
      <c r="AW82" s="92"/>
      <c r="AX82" s="92"/>
      <c r="AY82" s="92"/>
      <c r="AZ82" s="13"/>
      <c r="BA82" s="87"/>
      <c r="BB82" s="87"/>
      <c r="BC82" s="87"/>
      <c r="BD82" s="87"/>
      <c r="BE82" s="87"/>
      <c r="BF82" s="87"/>
      <c r="BG82" s="87"/>
      <c r="BH82" s="87"/>
      <c r="BI82" s="87"/>
      <c r="BJ82" s="202"/>
    </row>
    <row r="83" spans="1:62" s="186" customFormat="1" x14ac:dyDescent="0.2">
      <c r="A83" s="202"/>
      <c r="B83" s="180" t="s">
        <v>91</v>
      </c>
      <c r="C83" s="181"/>
      <c r="D83" s="182"/>
      <c r="E83" s="183"/>
      <c r="F83" s="182"/>
      <c r="G83" s="184"/>
      <c r="H83" s="185"/>
      <c r="I83" s="180" t="s">
        <v>91</v>
      </c>
      <c r="J83" s="181"/>
      <c r="K83" s="182"/>
      <c r="L83" s="183"/>
      <c r="M83" s="182"/>
      <c r="N83" s="184"/>
      <c r="O83" s="180"/>
      <c r="P83" s="181"/>
      <c r="Q83" s="182"/>
      <c r="R83" s="185"/>
      <c r="S83" s="185"/>
      <c r="T83" s="185"/>
      <c r="U83" s="185"/>
      <c r="V83" s="185"/>
      <c r="W83" s="185"/>
      <c r="X83" s="180" t="s">
        <v>91</v>
      </c>
      <c r="Y83" s="181"/>
      <c r="Z83" s="182"/>
      <c r="AA83" s="183"/>
      <c r="AB83" s="182"/>
      <c r="AC83" s="184"/>
      <c r="AD83" s="180"/>
      <c r="AE83" s="181"/>
      <c r="AF83" s="182"/>
      <c r="AG83" s="191"/>
      <c r="AH83" s="191"/>
      <c r="AI83" s="191"/>
      <c r="AJ83" s="191"/>
      <c r="AK83" s="192"/>
      <c r="AL83" s="192"/>
      <c r="AM83" s="193"/>
      <c r="AN83" s="193"/>
      <c r="AO83" s="194"/>
      <c r="AP83" s="194"/>
      <c r="AQ83" s="194"/>
      <c r="AR83" s="194"/>
      <c r="AS83" s="194"/>
      <c r="AT83" s="194"/>
      <c r="AU83" s="194"/>
      <c r="AV83" s="194"/>
      <c r="AW83" s="194"/>
      <c r="AX83" s="194"/>
      <c r="AY83" s="194"/>
      <c r="AZ83" s="192"/>
      <c r="BA83" s="195"/>
      <c r="BB83" s="195"/>
      <c r="BC83" s="195"/>
      <c r="BD83" s="195"/>
      <c r="BE83" s="195"/>
      <c r="BF83" s="195"/>
      <c r="BG83" s="195"/>
      <c r="BH83" s="195"/>
      <c r="BI83" s="195"/>
      <c r="BJ83" s="202"/>
    </row>
    <row r="84" spans="1:62" s="186" customFormat="1" ht="3" customHeight="1" thickBot="1" x14ac:dyDescent="0.25">
      <c r="A84" s="202"/>
      <c r="B84" s="180"/>
      <c r="C84" s="181"/>
      <c r="D84" s="182"/>
      <c r="E84" s="183"/>
      <c r="F84" s="182"/>
      <c r="G84" s="184"/>
      <c r="H84" s="185"/>
      <c r="I84" s="180"/>
      <c r="J84" s="181"/>
      <c r="K84" s="182"/>
      <c r="L84" s="183"/>
      <c r="M84" s="182"/>
      <c r="N84" s="184"/>
      <c r="O84" s="180"/>
      <c r="P84" s="181"/>
      <c r="Q84" s="182"/>
      <c r="R84" s="185"/>
      <c r="S84" s="185"/>
      <c r="T84" s="185"/>
      <c r="U84" s="185"/>
      <c r="V84" s="185"/>
      <c r="W84" s="185"/>
      <c r="Y84" s="187"/>
      <c r="Z84" s="188"/>
      <c r="AA84" s="188"/>
      <c r="AB84" s="189"/>
      <c r="AC84" s="189"/>
      <c r="AD84" s="189"/>
      <c r="AE84" s="190"/>
      <c r="AG84" s="191"/>
      <c r="AH84" s="191"/>
      <c r="AI84" s="191"/>
      <c r="AJ84" s="191"/>
      <c r="AK84" s="192"/>
      <c r="AL84" s="192"/>
      <c r="AM84" s="193"/>
      <c r="AN84" s="193"/>
      <c r="AO84" s="194"/>
      <c r="AP84" s="194"/>
      <c r="AQ84" s="194"/>
      <c r="AR84" s="194"/>
      <c r="AS84" s="194"/>
      <c r="AT84" s="194"/>
      <c r="AU84" s="194"/>
      <c r="AV84" s="194"/>
      <c r="AW84" s="194"/>
      <c r="AX84" s="194"/>
      <c r="AY84" s="194"/>
      <c r="AZ84" s="192"/>
      <c r="BA84" s="195"/>
      <c r="BB84" s="195"/>
      <c r="BC84" s="195"/>
      <c r="BD84" s="195"/>
      <c r="BE84" s="195"/>
      <c r="BF84" s="195"/>
      <c r="BG84" s="195"/>
      <c r="BH84" s="195"/>
      <c r="BI84" s="195"/>
      <c r="BJ84" s="202"/>
    </row>
    <row r="85" spans="1:62" ht="13.5" thickBot="1" x14ac:dyDescent="0.25">
      <c r="A85" s="202"/>
      <c r="B85" s="171" t="s">
        <v>92</v>
      </c>
      <c r="C85" s="172"/>
      <c r="D85" s="173"/>
      <c r="E85" s="174"/>
      <c r="F85" s="173"/>
      <c r="G85" s="173"/>
      <c r="H85" s="3"/>
      <c r="I85" s="171" t="str">
        <f>CONCATENATE("DOWNSTREAM PLAYER PURCHASING COSTS - BUYING SAME ",LOOKUP(BA6,BC9:BC32,BG9:BG32))</f>
        <v>DOWNSTREAM PLAYER PURCHASING COSTS - BUYING SAME sq m</v>
      </c>
      <c r="J85" s="169"/>
      <c r="K85" s="176"/>
      <c r="L85" s="176"/>
      <c r="M85" s="176"/>
      <c r="N85" s="169"/>
      <c r="O85" s="168" t="str">
        <f>CONCATENATE("D% vs. ",I5)</f>
        <v>D% vs. REFERENCE</v>
      </c>
      <c r="P85" s="169"/>
      <c r="Q85" s="169"/>
      <c r="R85" s="3"/>
      <c r="S85" s="3"/>
      <c r="T85" s="3"/>
      <c r="U85" s="3"/>
      <c r="V85" s="3"/>
      <c r="W85" s="3"/>
      <c r="X85" s="171" t="str">
        <f>CONCATENATE("DOWNSTREAM PLAYER PURCHASING COSTS - BUYING SAME ",LOOKUP(BA6,BC9:BC32,BG9:BG32))</f>
        <v>DOWNSTREAM PLAYER PURCHASING COSTS - BUYING SAME sq m</v>
      </c>
      <c r="Y85" s="169"/>
      <c r="Z85" s="176"/>
      <c r="AA85" s="176"/>
      <c r="AB85" s="176"/>
      <c r="AC85" s="169"/>
      <c r="AD85" s="168" t="str">
        <f>CONCATENATE("D% vs. ",X5)</f>
        <v>D% vs. ALTERNATIVE</v>
      </c>
      <c r="AE85" s="169"/>
      <c r="AF85" s="169"/>
      <c r="AG85" s="103"/>
      <c r="AH85" s="103"/>
      <c r="AI85" s="103"/>
      <c r="AJ85" s="103"/>
      <c r="AK85" s="13"/>
      <c r="AL85" s="13"/>
      <c r="AM85" s="94"/>
      <c r="AN85" s="94"/>
      <c r="AO85" s="92"/>
      <c r="AP85" s="92"/>
      <c r="AQ85" s="92"/>
      <c r="AR85" s="92"/>
      <c r="AS85" s="92"/>
      <c r="AT85" s="92"/>
      <c r="AU85" s="92"/>
      <c r="AV85" s="92"/>
      <c r="AW85" s="92"/>
      <c r="AX85" s="92"/>
      <c r="AY85" s="92"/>
      <c r="AZ85" s="13"/>
      <c r="BA85" s="87"/>
      <c r="BB85" s="87"/>
      <c r="BC85" s="87"/>
      <c r="BD85" s="87"/>
      <c r="BE85" s="87"/>
      <c r="BF85" s="87"/>
      <c r="BG85" s="87"/>
      <c r="BH85" s="87"/>
      <c r="BI85" s="87"/>
      <c r="BJ85" s="202"/>
    </row>
    <row r="86" spans="1:62" x14ac:dyDescent="0.2">
      <c r="A86" s="202"/>
      <c r="B86" s="178" t="s">
        <v>66</v>
      </c>
      <c r="C86" s="27"/>
      <c r="D86" s="110"/>
      <c r="E86" s="102" t="str">
        <f>CONCATENATE(Z30,N22," * ",ROUND(M24,2),I36," =")</f>
        <v>1KT * 1500$/TON =</v>
      </c>
      <c r="F86" s="111">
        <f>ROUND((M22*N74)/LOOKUP(1,J28:J30,L28:L30),3)</f>
        <v>1.5</v>
      </c>
      <c r="G86" s="160" t="str">
        <f>CONCATENATE(LOOKUP(1,J28:J30,M28:M30)," pa")</f>
        <v>M$ pa</v>
      </c>
      <c r="H86" s="3"/>
      <c r="I86" s="178" t="s">
        <v>66</v>
      </c>
      <c r="J86" s="27"/>
      <c r="K86" s="16"/>
      <c r="L86" s="96" t="str">
        <f>CONCATENATE(ROUND(AJ30,2),N22," * ",ROUND(N74,2),I36," =")</f>
        <v>0.75KT * 1500$/TON =</v>
      </c>
      <c r="M86" s="100">
        <f>ROUND((AJ30*N74)/LOOKUP(1,J28:J30,L28:L30),3)</f>
        <v>1.1220000000000001</v>
      </c>
      <c r="N86" s="101" t="str">
        <f>CONCATENATE(LOOKUP(1,J28:J30,M28:M30)," pa")</f>
        <v>M$ pa</v>
      </c>
      <c r="O86" s="99">
        <f t="shared" ref="O86:O87" si="13">IF(M86&lt;&gt;0,M86/F86-1,"")</f>
        <v>-0.25199999999999989</v>
      </c>
      <c r="P86" s="167" t="str">
        <f>IF(OR(O86=0,O86=""),"",IF(O86&lt;0,"DECREASE","INCREASE"))</f>
        <v>DECREASE</v>
      </c>
      <c r="R86" s="3"/>
      <c r="S86" s="3"/>
      <c r="T86" s="3"/>
      <c r="U86" s="3"/>
      <c r="V86" s="3"/>
      <c r="W86" s="3"/>
      <c r="X86" s="178" t="s">
        <v>66</v>
      </c>
      <c r="Y86" s="27"/>
      <c r="Z86" s="16"/>
      <c r="AA86" s="96" t="str">
        <f>CONCATENATE(ROUND(AJ30,2),N22," * ",ROUND(AB74,2),I36," =")</f>
        <v>0.75KT * 1750$/TON =</v>
      </c>
      <c r="AB86" s="100">
        <f>ROUND((AJ30*AB74)/LOOKUP(1,J28:J30,L28:L30),3)</f>
        <v>1.3089999999999999</v>
      </c>
      <c r="AC86" s="101" t="str">
        <f>CONCATENATE(LOOKUP(1,J28:J30,M28:M30)," pa")</f>
        <v>M$ pa</v>
      </c>
      <c r="AD86" s="99">
        <f>IF(AB86&lt;&gt;0,AB86/F86-1,"")</f>
        <v>-0.12733333333333341</v>
      </c>
      <c r="AE86" s="167" t="str">
        <f t="shared" ref="AE86:AE88" si="14">IF(OR(AD86=0,AD86=""),"",IF(AD86&lt;0,"DECREASE","INCREASE"))</f>
        <v>DECREASE</v>
      </c>
      <c r="AG86" s="103"/>
      <c r="AH86" s="103"/>
      <c r="AI86" s="103"/>
      <c r="AJ86" s="103"/>
      <c r="AK86" s="13"/>
      <c r="AL86" s="13"/>
      <c r="AM86" s="94"/>
      <c r="AN86" s="94"/>
      <c r="AO86" s="92"/>
      <c r="AP86" s="92"/>
      <c r="AQ86" s="92"/>
      <c r="AR86" s="92"/>
      <c r="AS86" s="92"/>
      <c r="AT86" s="92"/>
      <c r="AU86" s="92"/>
      <c r="AV86" s="92"/>
      <c r="AW86" s="92"/>
      <c r="AX86" s="92"/>
      <c r="AY86" s="92"/>
      <c r="AZ86" s="13"/>
      <c r="BA86" s="87"/>
      <c r="BB86" s="87"/>
      <c r="BC86" s="87"/>
      <c r="BD86" s="87"/>
      <c r="BE86" s="87"/>
      <c r="BF86" s="87"/>
      <c r="BG86" s="87"/>
      <c r="BH86" s="87"/>
      <c r="BI86" s="87"/>
      <c r="BJ86" s="202"/>
    </row>
    <row r="87" spans="1:62" x14ac:dyDescent="0.2">
      <c r="A87" s="202"/>
      <c r="B87" s="178" t="s">
        <v>52</v>
      </c>
      <c r="C87" s="27"/>
      <c r="D87" s="110"/>
      <c r="E87" s="102" t="str">
        <f>CONCATENATE(M26,"/365 * ",M22,N22," * ",ROUND(M24,2),I36," =")</f>
        <v>30/365 * 1KT * 1500$/TON =</v>
      </c>
      <c r="F87" s="111">
        <f>ROUND(M26/365*(F86),3)</f>
        <v>0.123</v>
      </c>
      <c r="G87" s="160" t="str">
        <f>CONCATENATE(LOOKUP(1,J28:J30,M28:M30)," pa")</f>
        <v>M$ pa</v>
      </c>
      <c r="H87" s="3"/>
      <c r="I87" s="178" t="s">
        <v>52</v>
      </c>
      <c r="J87" s="27"/>
      <c r="K87" s="16"/>
      <c r="L87" s="96" t="str">
        <f>CONCATENATE(M26,"/365 * ",ROUND(AJ30,2),N22," * ",ROUND(N74,2),I36," =")</f>
        <v>30/365 * 0.75KT * 1500$/TON =</v>
      </c>
      <c r="M87" s="100">
        <f>ROUND(M26/365*(M86),10)</f>
        <v>9.2219178099999993E-2</v>
      </c>
      <c r="N87" s="101" t="str">
        <f>CONCATENATE(LOOKUP(1,J28:J30,M28:M30)," pa")</f>
        <v>M$ pa</v>
      </c>
      <c r="O87" s="99">
        <f t="shared" si="13"/>
        <v>-0.25025058455284555</v>
      </c>
      <c r="P87" s="167" t="str">
        <f t="shared" ref="P87:P88" si="15">IF(OR(O87=0,O87=""),"",IF(O87&lt;0,"DECREASE","INCREASE"))</f>
        <v>DECREASE</v>
      </c>
      <c r="R87" s="3"/>
      <c r="S87" s="3"/>
      <c r="T87" s="3"/>
      <c r="U87" s="3"/>
      <c r="V87" s="3"/>
      <c r="W87" s="3"/>
      <c r="X87" s="178" t="s">
        <v>52</v>
      </c>
      <c r="Y87" s="27"/>
      <c r="Z87" s="16"/>
      <c r="AA87" s="96" t="str">
        <f>CONCATENATE(M26,"/365 * ",ROUND(AJ30,2),N22," * ",ROUND(AB74,2),I36," =")</f>
        <v>30/365 * 0.75KT * 1750$/TON =</v>
      </c>
      <c r="AB87" s="100">
        <f>ROUND(M26/365*(AB86),10)</f>
        <v>0.1075890411</v>
      </c>
      <c r="AC87" s="101" t="str">
        <f>CONCATENATE(LOOKUP(1,J28:J30,M28:M30)," pa")</f>
        <v>M$ pa</v>
      </c>
      <c r="AD87" s="99">
        <f t="shared" ref="AD87:AD88" si="16">IF(AB87&lt;&gt;0,AB87/F87-1,"")</f>
        <v>-0.12529234878048778</v>
      </c>
      <c r="AE87" s="167" t="str">
        <f t="shared" si="14"/>
        <v>DECREASE</v>
      </c>
      <c r="AG87" s="103"/>
      <c r="AH87" s="103"/>
      <c r="AI87" s="103"/>
      <c r="AJ87" s="103"/>
      <c r="AK87" s="13"/>
      <c r="AL87" s="13"/>
      <c r="AM87" s="13"/>
      <c r="AN87" s="13"/>
      <c r="AO87" s="92"/>
      <c r="AP87" s="92"/>
      <c r="AQ87" s="92"/>
      <c r="AR87" s="92"/>
      <c r="AS87" s="92"/>
      <c r="AT87" s="92"/>
      <c r="AU87" s="92"/>
      <c r="AV87" s="92"/>
      <c r="AW87" s="92"/>
      <c r="AX87" s="92"/>
      <c r="AY87" s="92"/>
      <c r="AZ87" s="13"/>
      <c r="BA87" s="87"/>
      <c r="BB87" s="87"/>
      <c r="BC87" s="87"/>
      <c r="BD87" s="87"/>
      <c r="BE87" s="87"/>
      <c r="BF87" s="87"/>
      <c r="BG87" s="87"/>
      <c r="BH87" s="87"/>
      <c r="BI87" s="87"/>
      <c r="BJ87" s="202"/>
    </row>
    <row r="88" spans="1:62" x14ac:dyDescent="0.2">
      <c r="A88" s="202"/>
      <c r="B88" s="149"/>
      <c r="C88" s="27"/>
      <c r="D88" s="143"/>
      <c r="E88" s="179" t="s">
        <v>93</v>
      </c>
      <c r="F88" s="154">
        <f>SUM(F86:F87)</f>
        <v>1.623</v>
      </c>
      <c r="G88" s="163" t="str">
        <f>CONCATENATE(LOOKUP(1,J28:J30,M28:M30)," pa")</f>
        <v>M$ pa</v>
      </c>
      <c r="H88" s="3"/>
      <c r="I88" s="149"/>
      <c r="J88" s="27"/>
      <c r="K88" s="143"/>
      <c r="L88" s="179" t="s">
        <v>93</v>
      </c>
      <c r="M88" s="156">
        <f>SUM(M86:M87)</f>
        <v>1.2142191781</v>
      </c>
      <c r="N88" s="155" t="str">
        <f>CONCATENATE(LOOKUP(1,J28:J30,M28:M30)," pa")</f>
        <v>M$ pa</v>
      </c>
      <c r="O88" s="158">
        <f>IF(M88&lt;&gt;0,M88/F88-1,"")</f>
        <v>-0.25186741953173131</v>
      </c>
      <c r="P88" s="165" t="str">
        <f t="shared" si="15"/>
        <v>DECREASE</v>
      </c>
      <c r="Q88" s="159"/>
      <c r="R88" s="3"/>
      <c r="S88" s="3"/>
      <c r="T88" s="3"/>
      <c r="U88" s="3"/>
      <c r="V88" s="3"/>
      <c r="W88" s="3"/>
      <c r="X88" s="149"/>
      <c r="Y88" s="27"/>
      <c r="Z88" s="143"/>
      <c r="AA88" s="179" t="s">
        <v>93</v>
      </c>
      <c r="AB88" s="156">
        <f>SUM(AB86:AB87)</f>
        <v>1.4165890410999999</v>
      </c>
      <c r="AC88" s="155" t="str">
        <f>CONCATENATE(LOOKUP(1,J28:J30,M28:M30)," pa")</f>
        <v>M$ pa</v>
      </c>
      <c r="AD88" s="158">
        <f t="shared" si="16"/>
        <v>-0.12717865613062229</v>
      </c>
      <c r="AE88" s="165" t="str">
        <f t="shared" si="14"/>
        <v>DECREASE</v>
      </c>
      <c r="AF88" s="159"/>
      <c r="AG88" s="103"/>
      <c r="AH88" s="103"/>
      <c r="AI88" s="103"/>
      <c r="AJ88" s="103"/>
      <c r="AK88" s="13"/>
      <c r="AL88" s="13"/>
      <c r="AM88" s="13"/>
      <c r="AN88" s="13"/>
      <c r="AO88" s="92"/>
      <c r="AP88" s="92"/>
      <c r="AQ88" s="92"/>
      <c r="AR88" s="92"/>
      <c r="AS88" s="92"/>
      <c r="AT88" s="92"/>
      <c r="AU88" s="92"/>
      <c r="AV88" s="92"/>
      <c r="AW88" s="92"/>
      <c r="AX88" s="92"/>
      <c r="AY88" s="92"/>
      <c r="AZ88" s="13"/>
      <c r="BA88" s="87"/>
      <c r="BB88" s="87"/>
      <c r="BC88" s="87"/>
      <c r="BD88" s="87"/>
      <c r="BE88" s="87"/>
      <c r="BF88" s="87"/>
      <c r="BG88" s="87"/>
      <c r="BH88" s="87"/>
      <c r="BI88" s="87"/>
      <c r="BJ88" s="202"/>
    </row>
    <row r="89" spans="1:62" ht="3" customHeight="1" x14ac:dyDescent="0.2">
      <c r="A89" s="202"/>
      <c r="B89" s="3"/>
      <c r="C89" s="3"/>
      <c r="D89" s="3"/>
      <c r="E89" s="3"/>
      <c r="F89" s="3"/>
      <c r="G89" s="3"/>
      <c r="H89" s="3"/>
      <c r="I89" s="3"/>
      <c r="J89" s="3"/>
      <c r="K89" s="103"/>
      <c r="L89" s="103"/>
      <c r="M89" s="3"/>
      <c r="N89" s="3"/>
      <c r="O89" s="3"/>
      <c r="P89" s="3"/>
      <c r="Q89" s="3"/>
      <c r="R89" s="3"/>
      <c r="S89" s="3"/>
      <c r="T89" s="3"/>
      <c r="U89" s="3"/>
      <c r="V89" s="22"/>
      <c r="W89" s="3"/>
      <c r="X89" s="3"/>
      <c r="Y89" s="103"/>
      <c r="Z89" s="103"/>
      <c r="AA89" s="103"/>
      <c r="AB89" s="103"/>
      <c r="AC89" s="103"/>
      <c r="AD89" s="103"/>
      <c r="AE89" s="103"/>
      <c r="AF89" s="103"/>
      <c r="AG89" s="103"/>
      <c r="AH89" s="103"/>
      <c r="AI89" s="103"/>
      <c r="AJ89" s="103"/>
      <c r="AK89" s="92"/>
      <c r="AL89" s="92"/>
      <c r="AM89" s="92"/>
      <c r="AN89" s="92"/>
      <c r="AO89" s="92"/>
      <c r="AP89" s="92"/>
      <c r="AQ89" s="92"/>
      <c r="AR89" s="92"/>
      <c r="AS89" s="92"/>
      <c r="AT89" s="92"/>
      <c r="AU89" s="92"/>
      <c r="AV89" s="92"/>
      <c r="AW89" s="92"/>
      <c r="AX89" s="92"/>
      <c r="AY89" s="92"/>
      <c r="AZ89" s="13"/>
      <c r="BA89" s="87"/>
      <c r="BB89" s="87"/>
      <c r="BC89" s="87"/>
      <c r="BD89" s="87"/>
      <c r="BE89" s="87"/>
      <c r="BF89" s="87"/>
      <c r="BG89" s="87"/>
      <c r="BH89" s="87"/>
      <c r="BI89" s="87"/>
      <c r="BJ89" s="202"/>
    </row>
    <row r="90" spans="1:62" x14ac:dyDescent="0.2">
      <c r="A90" s="202"/>
      <c r="B90" s="3"/>
      <c r="C90" s="3"/>
      <c r="D90" s="3"/>
      <c r="E90" s="3"/>
      <c r="F90" s="3"/>
      <c r="G90" s="3"/>
      <c r="H90" s="3"/>
      <c r="I90" s="116" t="str">
        <f>CONCATENATE("CONVERTER SELLS @ ",IF(AB25&gt;1,"MAXIMUM ","CONSTANT "),I33)</f>
        <v>CONVERTER SELLS @ CONSTANT $ per 1000 sq m</v>
      </c>
      <c r="J90" s="142"/>
      <c r="K90" s="142"/>
      <c r="L90" s="117"/>
      <c r="M90" s="142"/>
      <c r="N90" s="89">
        <f>ROUND(N91/M35*1000,2)</f>
        <v>2005.56</v>
      </c>
      <c r="O90" s="110" t="str">
        <f>F8</f>
        <v>$/TON</v>
      </c>
      <c r="P90" s="110"/>
      <c r="Q90" s="110"/>
      <c r="R90" s="3"/>
      <c r="S90" s="3"/>
      <c r="T90" s="3"/>
      <c r="U90" s="3"/>
      <c r="V90" s="22"/>
      <c r="W90" s="3"/>
      <c r="X90" s="103"/>
      <c r="Y90" s="103"/>
      <c r="Z90" s="103"/>
      <c r="AA90" s="103"/>
      <c r="AB90" s="103"/>
      <c r="AC90" s="103"/>
      <c r="AD90" s="103"/>
      <c r="AE90" s="103"/>
      <c r="AF90" s="103"/>
      <c r="AG90" s="103"/>
      <c r="AH90" s="103"/>
      <c r="AI90" s="103"/>
      <c r="AJ90" s="103"/>
      <c r="AK90" s="92"/>
      <c r="AL90" s="92"/>
      <c r="AM90" s="92"/>
      <c r="AN90" s="92"/>
      <c r="AO90" s="92"/>
      <c r="AP90" s="92"/>
      <c r="AQ90" s="92"/>
      <c r="AR90" s="92"/>
      <c r="AS90" s="92"/>
      <c r="AT90" s="92"/>
      <c r="AU90" s="92"/>
      <c r="AV90" s="92"/>
      <c r="AW90" s="92"/>
      <c r="AX90" s="92"/>
      <c r="AY90" s="92"/>
      <c r="AZ90" s="13"/>
      <c r="BA90" s="87"/>
      <c r="BB90" s="87"/>
      <c r="BC90" s="87"/>
      <c r="BD90" s="87"/>
      <c r="BE90" s="87"/>
      <c r="BF90" s="87"/>
      <c r="BG90" s="87"/>
      <c r="BH90" s="87"/>
      <c r="BI90" s="87"/>
      <c r="BJ90" s="202"/>
    </row>
    <row r="91" spans="1:62" ht="13.5" thickBot="1" x14ac:dyDescent="0.25">
      <c r="A91" s="202"/>
      <c r="B91" s="3"/>
      <c r="C91" s="3"/>
      <c r="D91" s="3"/>
      <c r="E91" s="3"/>
      <c r="F91" s="3"/>
      <c r="G91" s="3"/>
      <c r="H91" s="3"/>
      <c r="J91" s="27"/>
      <c r="K91" s="16"/>
      <c r="M91" s="102" t="str">
        <f>IF(AB25&lt;&gt;100%,CONCATENATE(ROUND(AB25*100,0),"% * ",ROUND(M25*100,0),"% * ",ROUND(K33,0),I33," ="),CONCATENATE(ROUND(M25*100,0),"% * ",ROUND(K33,0),I33," ="))</f>
        <v>123% * 113$ per 1000 sq m =</v>
      </c>
      <c r="N91" s="150">
        <f>ROUND(K33*M25*AB25,3)</f>
        <v>139.56700000000001</v>
      </c>
      <c r="O91" s="151" t="str">
        <f>I33</f>
        <v>$ per 1000 sq m</v>
      </c>
      <c r="P91" s="151"/>
      <c r="Q91" s="110"/>
      <c r="R91" s="3"/>
      <c r="S91" s="3"/>
      <c r="T91" s="3"/>
      <c r="U91" s="3"/>
      <c r="V91" s="22"/>
      <c r="W91" s="3"/>
      <c r="X91" s="103"/>
      <c r="Y91" s="103"/>
      <c r="Z91" s="103"/>
      <c r="AA91" s="103"/>
      <c r="AB91" s="103"/>
      <c r="AC91" s="103"/>
      <c r="AD91" s="103"/>
      <c r="AE91" s="103"/>
      <c r="AF91" s="103"/>
      <c r="AG91" s="103"/>
      <c r="AH91" s="103"/>
      <c r="AI91" s="103"/>
      <c r="AJ91" s="103"/>
      <c r="AK91" s="92"/>
      <c r="AL91" s="92"/>
      <c r="AM91" s="92"/>
      <c r="AN91" s="92"/>
      <c r="AO91" s="92"/>
      <c r="AP91" s="92"/>
      <c r="AQ91" s="92"/>
      <c r="AR91" s="92"/>
      <c r="AS91" s="92"/>
      <c r="AT91" s="92"/>
      <c r="AU91" s="92"/>
      <c r="AV91" s="92"/>
      <c r="AW91" s="92"/>
      <c r="AX91" s="92"/>
      <c r="AY91" s="92"/>
      <c r="AZ91" s="13"/>
      <c r="BA91" s="87"/>
      <c r="BB91" s="87"/>
      <c r="BC91" s="87"/>
      <c r="BD91" s="87"/>
      <c r="BE91" s="87"/>
      <c r="BF91" s="87"/>
      <c r="BG91" s="87"/>
      <c r="BH91" s="87"/>
      <c r="BI91" s="87"/>
      <c r="BJ91" s="202"/>
    </row>
    <row r="92" spans="1:62" ht="13.5" thickBot="1" x14ac:dyDescent="0.25">
      <c r="A92" s="202"/>
      <c r="B92" s="3"/>
      <c r="C92" s="3"/>
      <c r="D92" s="3"/>
      <c r="E92" s="3"/>
      <c r="F92" s="3"/>
      <c r="G92" s="3"/>
      <c r="H92" s="3"/>
      <c r="I92" s="168" t="str">
        <f>CONCATENATE("CONVERTER BENEFITS - ON ",ROUND(AB23,2),N22," BUSINESS")</f>
        <v>CONVERTER BENEFITS - ON 1KT BUSINESS</v>
      </c>
      <c r="J92" s="169"/>
      <c r="K92" s="176"/>
      <c r="L92" s="176"/>
      <c r="M92" s="172"/>
      <c r="N92" s="169"/>
      <c r="O92" s="168" t="str">
        <f>CONCATENATE("D% vs. ",I5)</f>
        <v>D% vs. REFERENCE</v>
      </c>
      <c r="P92" s="169"/>
      <c r="Q92" s="169"/>
      <c r="R92" s="3"/>
      <c r="S92" s="3"/>
      <c r="T92" s="3"/>
      <c r="U92" s="3"/>
      <c r="V92" s="22"/>
      <c r="W92" s="3"/>
      <c r="X92" s="103"/>
      <c r="Y92" s="103"/>
      <c r="Z92" s="103"/>
      <c r="AA92" s="103"/>
      <c r="AB92" s="103"/>
      <c r="AC92" s="103"/>
      <c r="AD92" s="103"/>
      <c r="AE92" s="103"/>
      <c r="AF92" s="103"/>
      <c r="AG92" s="103"/>
      <c r="AH92" s="103"/>
      <c r="AI92" s="103"/>
      <c r="AJ92" s="103"/>
      <c r="AK92" s="92"/>
      <c r="AL92" s="92"/>
      <c r="AM92" s="92"/>
      <c r="AN92" s="92"/>
      <c r="AO92" s="92"/>
      <c r="AP92" s="92"/>
      <c r="AQ92" s="92"/>
      <c r="AR92" s="92"/>
      <c r="AS92" s="92"/>
      <c r="AT92" s="92"/>
      <c r="AU92" s="92"/>
      <c r="AV92" s="92"/>
      <c r="AW92" s="92"/>
      <c r="AX92" s="92"/>
      <c r="AY92" s="92"/>
      <c r="AZ92" s="13"/>
      <c r="BA92" s="87"/>
      <c r="BB92" s="87"/>
      <c r="BC92" s="87"/>
      <c r="BD92" s="87"/>
      <c r="BE92" s="87"/>
      <c r="BF92" s="87"/>
      <c r="BG92" s="87"/>
      <c r="BH92" s="87"/>
      <c r="BI92" s="87"/>
      <c r="BJ92" s="202"/>
    </row>
    <row r="93" spans="1:62" x14ac:dyDescent="0.2">
      <c r="A93" s="202"/>
      <c r="B93" s="3"/>
      <c r="C93" s="3"/>
      <c r="D93" s="3"/>
      <c r="E93" s="3"/>
      <c r="F93" s="3"/>
      <c r="G93" s="3"/>
      <c r="H93" s="3"/>
      <c r="I93" s="177" t="s">
        <v>53</v>
      </c>
      <c r="J93" s="110"/>
      <c r="K93" s="115"/>
      <c r="L93" s="102" t="str">
        <f>CONCATENATE(AB23,N22," * ",ROUND(N90,2),I36," =")</f>
        <v>1KT * 2005.56$/TON =</v>
      </c>
      <c r="M93" s="130">
        <f>ROUND((AB23*N90)/LOOKUP(1,J28:J30,L28:L30),3)</f>
        <v>2.0059999999999998</v>
      </c>
      <c r="N93" s="112" t="str">
        <f>CONCATENATE(LOOKUP(1,J28:J30,M28:M30)," pa")</f>
        <v>M$ pa</v>
      </c>
      <c r="O93" s="95">
        <f>IF(M93&lt;&gt;0,M93/F78-1,"")</f>
        <v>0.33733333333333326</v>
      </c>
      <c r="P93" s="167" t="str">
        <f t="shared" ref="P93:P97" si="17">IF(OR(O93=0,O93=""),"",IF(O93&lt;0,"DECREASE","INCREASE"))</f>
        <v>INCREASE</v>
      </c>
      <c r="R93" s="3"/>
      <c r="S93" s="3"/>
      <c r="T93" s="3"/>
      <c r="U93" s="3"/>
      <c r="V93" s="22"/>
      <c r="W93" s="3"/>
      <c r="X93" s="103"/>
      <c r="Y93" s="103"/>
      <c r="Z93" s="103"/>
      <c r="AA93" s="103"/>
      <c r="AB93" s="103"/>
      <c r="AC93" s="103"/>
      <c r="AD93" s="103"/>
      <c r="AE93" s="103"/>
      <c r="AF93" s="103"/>
      <c r="AG93" s="103"/>
      <c r="AH93" s="103"/>
      <c r="AI93" s="103"/>
      <c r="AJ93" s="103"/>
      <c r="AK93" s="92"/>
      <c r="AL93" s="92"/>
      <c r="AM93" s="92"/>
      <c r="AN93" s="92"/>
      <c r="AO93" s="92"/>
      <c r="AP93" s="92"/>
      <c r="AQ93" s="92"/>
      <c r="AR93" s="92"/>
      <c r="AS93" s="92"/>
      <c r="AT93" s="92"/>
      <c r="AU93" s="92"/>
      <c r="AV93" s="92"/>
      <c r="AW93" s="92"/>
      <c r="AX93" s="92"/>
      <c r="AY93" s="92"/>
      <c r="AZ93" s="13"/>
      <c r="BA93" s="87"/>
      <c r="BB93" s="87"/>
      <c r="BC93" s="87"/>
      <c r="BD93" s="87"/>
      <c r="BE93" s="87"/>
      <c r="BF93" s="87"/>
      <c r="BG93" s="87"/>
      <c r="BH93" s="87"/>
      <c r="BI93" s="87"/>
      <c r="BJ93" s="202"/>
    </row>
    <row r="94" spans="1:62" x14ac:dyDescent="0.2">
      <c r="A94" s="202"/>
      <c r="B94" s="3"/>
      <c r="C94" s="3"/>
      <c r="D94" s="3"/>
      <c r="E94" s="3"/>
      <c r="F94" s="3"/>
      <c r="G94" s="3"/>
      <c r="H94" s="3"/>
      <c r="I94" s="177" t="s">
        <v>51</v>
      </c>
      <c r="J94" s="110"/>
      <c r="K94" s="115"/>
      <c r="L94" s="102" t="str">
        <f>CONCATENATE(AB23,N22," * ",ROUND(M36,2),I36," =")</f>
        <v>1KT * 1250$/TON =</v>
      </c>
      <c r="M94" s="111">
        <f>ROUND((-AB23*M36)/LOOKUP(1,J28:J30,L28:L30),3)</f>
        <v>-1.25</v>
      </c>
      <c r="N94" s="112" t="str">
        <f>CONCATENATE(LOOKUP(1,J28:J30,M28:M30)," pa")</f>
        <v>M$ pa</v>
      </c>
      <c r="O94" s="95">
        <f>IF(M94&lt;&gt;0,M94/F79-1,"")</f>
        <v>2.8806584362139898E-2</v>
      </c>
      <c r="P94" s="167" t="str">
        <f t="shared" si="17"/>
        <v>INCREASE</v>
      </c>
      <c r="R94" s="3"/>
      <c r="S94" s="3"/>
      <c r="T94" s="3"/>
      <c r="U94" s="3"/>
      <c r="V94" s="22"/>
      <c r="W94" s="3"/>
      <c r="X94" s="103"/>
      <c r="Y94" s="103"/>
      <c r="Z94" s="103"/>
      <c r="AA94" s="103"/>
      <c r="AB94" s="103"/>
      <c r="AC94" s="103"/>
      <c r="AD94" s="103"/>
      <c r="AE94" s="103"/>
      <c r="AF94" s="103"/>
      <c r="AG94" s="103"/>
      <c r="AH94" s="103"/>
      <c r="AI94" s="103"/>
      <c r="AJ94" s="103"/>
      <c r="AK94" s="92"/>
      <c r="AL94" s="92"/>
      <c r="AM94" s="92"/>
      <c r="AN94" s="92"/>
      <c r="AO94" s="92"/>
      <c r="AP94" s="92"/>
      <c r="AQ94" s="92"/>
      <c r="AR94" s="92"/>
      <c r="AS94" s="92"/>
      <c r="AT94" s="92"/>
      <c r="AU94" s="92"/>
      <c r="AV94" s="92"/>
      <c r="AW94" s="92"/>
      <c r="AX94" s="92"/>
      <c r="AY94" s="92"/>
      <c r="AZ94" s="13"/>
      <c r="BA94" s="87"/>
      <c r="BB94" s="87"/>
      <c r="BC94" s="87"/>
      <c r="BD94" s="87"/>
      <c r="BE94" s="87"/>
      <c r="BF94" s="87"/>
      <c r="BG94" s="87"/>
      <c r="BH94" s="87"/>
      <c r="BI94" s="87"/>
      <c r="BJ94" s="202"/>
    </row>
    <row r="95" spans="1:62" x14ac:dyDescent="0.2">
      <c r="A95" s="202"/>
      <c r="B95" s="3"/>
      <c r="C95" s="3"/>
      <c r="D95" s="3"/>
      <c r="E95" s="3"/>
      <c r="F95" s="3"/>
      <c r="G95" s="3"/>
      <c r="H95" s="3"/>
      <c r="I95" s="177" t="s">
        <v>52</v>
      </c>
      <c r="J95" s="110"/>
      <c r="K95" s="115"/>
      <c r="L95" s="102" t="str">
        <f>CONCATENATE(M26,"/365 * ",AB23,N22," * ",ROUND(M36,2),I36," =")</f>
        <v>30/365 * 1KT * 1250$/TON =</v>
      </c>
      <c r="M95" s="111">
        <f>ROUND(M26/365*(M94),10)</f>
        <v>-0.102739726</v>
      </c>
      <c r="N95" s="112" t="str">
        <f>CONCATENATE(LOOKUP(1,J28:J30,M28:M30)," pa")</f>
        <v>M$ pa</v>
      </c>
      <c r="O95" s="95">
        <f>IF(M95&lt;&gt;0,M95/F80-1,"")</f>
        <v>2.8806584073678865E-2</v>
      </c>
      <c r="P95" s="167" t="str">
        <f t="shared" si="17"/>
        <v>INCREASE</v>
      </c>
      <c r="R95" s="3"/>
      <c r="S95" s="3"/>
      <c r="T95" s="3"/>
      <c r="U95" s="3"/>
      <c r="V95" s="22"/>
      <c r="W95" s="3"/>
      <c r="X95" s="103"/>
      <c r="Y95" s="103"/>
      <c r="Z95" s="103"/>
      <c r="AA95" s="103"/>
      <c r="AB95" s="103"/>
      <c r="AC95" s="103"/>
      <c r="AD95" s="103"/>
      <c r="AE95" s="103"/>
      <c r="AF95" s="103"/>
      <c r="AG95" s="103"/>
      <c r="AH95" s="103"/>
      <c r="AI95" s="103"/>
      <c r="AJ95" s="103"/>
      <c r="AK95" s="92"/>
      <c r="AL95" s="92"/>
      <c r="AM95" s="92"/>
      <c r="AN95" s="92"/>
      <c r="AO95" s="92"/>
      <c r="AP95" s="92"/>
      <c r="AQ95" s="92"/>
      <c r="AR95" s="92"/>
      <c r="AS95" s="92"/>
      <c r="AT95" s="92"/>
      <c r="AU95" s="92"/>
      <c r="AV95" s="92"/>
      <c r="AW95" s="92"/>
      <c r="AX95" s="92"/>
      <c r="AY95" s="92"/>
      <c r="AZ95" s="13"/>
      <c r="BA95" s="87"/>
      <c r="BB95" s="87"/>
      <c r="BC95" s="87"/>
      <c r="BD95" s="87"/>
      <c r="BE95" s="87"/>
      <c r="BF95" s="87"/>
      <c r="BG95" s="87"/>
      <c r="BH95" s="87"/>
      <c r="BI95" s="87"/>
      <c r="BJ95" s="202"/>
    </row>
    <row r="96" spans="1:62" x14ac:dyDescent="0.2">
      <c r="A96" s="202"/>
      <c r="B96" s="3"/>
      <c r="C96" s="3"/>
      <c r="D96" s="3"/>
      <c r="E96" s="3"/>
      <c r="F96" s="3"/>
      <c r="G96" s="3"/>
      <c r="H96" s="3"/>
      <c r="I96" s="178" t="s">
        <v>56</v>
      </c>
      <c r="J96" s="110"/>
      <c r="K96" s="115"/>
      <c r="L96" s="102" t="str">
        <f>CONCATENATE(AB23,N22," * ",M27,N27," =")</f>
        <v>1KT * 100$/TON =</v>
      </c>
      <c r="M96" s="111">
        <f>ROUND((-AB23)*M27/LOOKUP(1,J28:J30,L28:L30),3)</f>
        <v>-0.1</v>
      </c>
      <c r="N96" s="112" t="str">
        <f>CONCATENATE(LOOKUP(1,J28:J30,M28:M30)," pa")</f>
        <v>M$ pa</v>
      </c>
      <c r="O96" s="95">
        <f>IF(M96&lt;&gt;0,M96/F81-1,"")</f>
        <v>0</v>
      </c>
      <c r="P96" s="167" t="str">
        <f>IF(OR(O96=0,O96=""),"",IF(O96&lt;0,"DECREASE","INCREASE"))</f>
        <v/>
      </c>
      <c r="R96" s="3"/>
      <c r="S96" s="3"/>
      <c r="T96" s="3"/>
      <c r="U96" s="3"/>
      <c r="V96" s="22"/>
      <c r="W96" s="3"/>
      <c r="X96" s="103"/>
      <c r="Y96" s="103"/>
      <c r="Z96" s="103"/>
      <c r="AA96" s="103"/>
      <c r="AB96" s="103"/>
      <c r="AC96" s="103"/>
      <c r="AD96" s="103"/>
      <c r="AE96" s="103"/>
      <c r="AF96" s="103"/>
      <c r="AG96" s="103"/>
      <c r="AH96" s="103"/>
      <c r="AI96" s="103"/>
      <c r="AJ96" s="103"/>
      <c r="AK96" s="92"/>
      <c r="AL96" s="92"/>
      <c r="AM96" s="92"/>
      <c r="AN96" s="92"/>
      <c r="AO96" s="92"/>
      <c r="AP96" s="92"/>
      <c r="AQ96" s="92"/>
      <c r="AR96" s="92"/>
      <c r="AS96" s="92"/>
      <c r="AT96" s="92"/>
      <c r="AU96" s="92"/>
      <c r="AV96" s="92"/>
      <c r="AW96" s="92"/>
      <c r="AX96" s="92"/>
      <c r="AY96" s="92"/>
      <c r="AZ96" s="13"/>
      <c r="BA96" s="87"/>
      <c r="BB96" s="87"/>
      <c r="BC96" s="87"/>
      <c r="BD96" s="87"/>
      <c r="BE96" s="87"/>
      <c r="BF96" s="87"/>
      <c r="BG96" s="87"/>
      <c r="BH96" s="87"/>
      <c r="BI96" s="87"/>
      <c r="BJ96" s="202"/>
    </row>
    <row r="97" spans="1:62" x14ac:dyDescent="0.2">
      <c r="A97" s="202"/>
      <c r="B97" s="3"/>
      <c r="C97" s="3"/>
      <c r="D97" s="3"/>
      <c r="E97" s="3"/>
      <c r="F97" s="3"/>
      <c r="G97" s="3"/>
      <c r="H97" s="3"/>
      <c r="I97" s="149"/>
      <c r="J97" s="27"/>
      <c r="K97" s="143"/>
      <c r="L97" s="179" t="s">
        <v>90</v>
      </c>
      <c r="M97" s="154">
        <f>SUM(M93:M96)</f>
        <v>0.55326027399999977</v>
      </c>
      <c r="N97" s="153" t="str">
        <f>CONCATENATE(LOOKUP(1,J28:J30,M28:M30)," pa")</f>
        <v>M$ pa</v>
      </c>
      <c r="O97" s="157">
        <f>IF(M97&lt;&gt;0,M97/F82-1,"")</f>
        <v>5.4984714404907278</v>
      </c>
      <c r="P97" s="166" t="str">
        <f t="shared" si="17"/>
        <v>INCREASE</v>
      </c>
      <c r="R97" s="3"/>
      <c r="S97" s="3"/>
      <c r="T97" s="3"/>
      <c r="U97" s="3"/>
      <c r="V97" s="22"/>
      <c r="W97" s="3"/>
      <c r="X97" s="103"/>
      <c r="Y97" s="103"/>
      <c r="Z97" s="103"/>
      <c r="AA97" s="103"/>
      <c r="AB97" s="103"/>
      <c r="AC97" s="103"/>
      <c r="AD97" s="103"/>
      <c r="AE97" s="103"/>
      <c r="AF97" s="103"/>
      <c r="AG97" s="103"/>
      <c r="AH97" s="103"/>
      <c r="AI97" s="103"/>
      <c r="AJ97" s="103"/>
      <c r="AK97" s="92"/>
      <c r="AL97" s="92"/>
      <c r="AM97" s="92"/>
      <c r="AN97" s="92"/>
      <c r="AO97" s="92"/>
      <c r="AP97" s="92"/>
      <c r="AQ97" s="92"/>
      <c r="AR97" s="92"/>
      <c r="AS97" s="92"/>
      <c r="AT97" s="92"/>
      <c r="AU97" s="92"/>
      <c r="AV97" s="92"/>
      <c r="AW97" s="92"/>
      <c r="AX97" s="92"/>
      <c r="AY97" s="92"/>
      <c r="AZ97" s="13"/>
      <c r="BA97" s="87"/>
      <c r="BB97" s="87"/>
      <c r="BC97" s="87"/>
      <c r="BD97" s="87"/>
      <c r="BE97" s="87"/>
      <c r="BF97" s="87"/>
      <c r="BG97" s="87"/>
      <c r="BH97" s="87"/>
      <c r="BI97" s="87"/>
      <c r="BJ97" s="202"/>
    </row>
    <row r="98" spans="1:62" s="149" customFormat="1" x14ac:dyDescent="0.2">
      <c r="A98" s="202"/>
      <c r="B98" s="3"/>
      <c r="C98" s="3"/>
      <c r="D98" s="3"/>
      <c r="E98" s="3"/>
      <c r="F98" s="3"/>
      <c r="G98" s="3"/>
      <c r="H98" s="3"/>
      <c r="I98" s="180" t="s">
        <v>91</v>
      </c>
      <c r="J98" s="181"/>
      <c r="K98" s="182"/>
      <c r="L98" s="183"/>
      <c r="M98" s="182"/>
      <c r="N98" s="184"/>
      <c r="O98" s="180"/>
      <c r="P98" s="181"/>
      <c r="Q98" s="182"/>
      <c r="R98" s="3"/>
      <c r="S98" s="3"/>
      <c r="T98" s="3"/>
      <c r="U98" s="3"/>
      <c r="V98" s="22"/>
      <c r="W98" s="3"/>
      <c r="X98" s="103"/>
      <c r="Y98" s="103"/>
      <c r="Z98" s="103"/>
      <c r="AA98" s="103"/>
      <c r="AB98" s="103"/>
      <c r="AC98" s="103"/>
      <c r="AD98" s="103"/>
      <c r="AE98" s="103"/>
      <c r="AF98" s="103"/>
      <c r="AG98" s="103"/>
      <c r="AH98" s="103"/>
      <c r="AI98" s="103"/>
      <c r="AJ98" s="103"/>
      <c r="AK98" s="92"/>
      <c r="AL98" s="92"/>
      <c r="AM98" s="92"/>
      <c r="AN98" s="92"/>
      <c r="AO98" s="92"/>
      <c r="AP98" s="92"/>
      <c r="AQ98" s="92"/>
      <c r="AR98" s="92"/>
      <c r="AS98" s="92"/>
      <c r="AT98" s="92"/>
      <c r="AU98" s="92"/>
      <c r="AV98" s="92"/>
      <c r="AW98" s="92"/>
      <c r="AX98" s="92"/>
      <c r="AY98" s="92"/>
      <c r="AZ98" s="13"/>
      <c r="BA98" s="87"/>
      <c r="BB98" s="87"/>
      <c r="BC98" s="87"/>
      <c r="BD98" s="87"/>
      <c r="BE98" s="87"/>
      <c r="BF98" s="87"/>
      <c r="BG98" s="87"/>
      <c r="BH98" s="87"/>
      <c r="BI98" s="87"/>
      <c r="BJ98" s="202"/>
    </row>
    <row r="99" spans="1:62" ht="3" customHeight="1" thickBot="1" x14ac:dyDescent="0.25">
      <c r="A99" s="202"/>
      <c r="B99" s="3"/>
      <c r="C99" s="3"/>
      <c r="D99" s="3"/>
      <c r="E99" s="3"/>
      <c r="F99" s="3"/>
      <c r="G99" s="3"/>
      <c r="H99" s="3"/>
      <c r="J99" s="27"/>
      <c r="K99" s="16"/>
      <c r="L99" s="16"/>
      <c r="M99" s="18"/>
      <c r="N99" s="101"/>
      <c r="O99" s="101"/>
      <c r="R99" s="3"/>
      <c r="S99" s="3"/>
      <c r="T99" s="3"/>
      <c r="U99" s="3"/>
      <c r="V99" s="22"/>
      <c r="W99" s="3"/>
      <c r="X99" s="103"/>
      <c r="Y99" s="103"/>
      <c r="Z99" s="103"/>
      <c r="AA99" s="103"/>
      <c r="AB99" s="103"/>
      <c r="AC99" s="103"/>
      <c r="AD99" s="103"/>
      <c r="AE99" s="103"/>
      <c r="AF99" s="103"/>
      <c r="AG99" s="103"/>
      <c r="AH99" s="103"/>
      <c r="AI99" s="103"/>
      <c r="AJ99" s="103"/>
      <c r="AK99" s="92"/>
      <c r="AL99" s="92"/>
      <c r="AM99" s="92"/>
      <c r="AN99" s="92"/>
      <c r="AO99" s="92"/>
      <c r="AP99" s="92"/>
      <c r="AQ99" s="92"/>
      <c r="AR99" s="92"/>
      <c r="AS99" s="92"/>
      <c r="AT99" s="92"/>
      <c r="AU99" s="92"/>
      <c r="AV99" s="92"/>
      <c r="AW99" s="92"/>
      <c r="AX99" s="92"/>
      <c r="AY99" s="92"/>
      <c r="AZ99" s="13"/>
      <c r="BA99" s="87"/>
      <c r="BB99" s="87"/>
      <c r="BC99" s="87"/>
      <c r="BD99" s="87"/>
      <c r="BE99" s="87"/>
      <c r="BF99" s="87"/>
      <c r="BG99" s="87"/>
      <c r="BH99" s="87"/>
      <c r="BI99" s="87"/>
      <c r="BJ99" s="202"/>
    </row>
    <row r="100" spans="1:62" ht="13.5" thickBot="1" x14ac:dyDescent="0.25">
      <c r="A100" s="202"/>
      <c r="B100" s="3"/>
      <c r="C100" s="3"/>
      <c r="D100" s="3"/>
      <c r="E100" s="3"/>
      <c r="F100" s="3"/>
      <c r="G100" s="3"/>
      <c r="H100" s="3"/>
      <c r="I100" s="168" t="str">
        <f>CONCATENATE("DOWNSTREAM PLAYER PURCHASING COSTS - BUYING SAME ",LOOKUP(BA6,BC9:BC32,BG9:BG32))</f>
        <v>DOWNSTREAM PLAYER PURCHASING COSTS - BUYING SAME sq m</v>
      </c>
      <c r="J100" s="169"/>
      <c r="K100" s="176"/>
      <c r="L100" s="176"/>
      <c r="M100" s="176"/>
      <c r="N100" s="176"/>
      <c r="O100" s="168" t="str">
        <f>CONCATENATE("D% vs. ",I5)</f>
        <v>D% vs. REFERENCE</v>
      </c>
      <c r="P100" s="169"/>
      <c r="Q100" s="169"/>
      <c r="R100" s="3"/>
      <c r="S100" s="3"/>
      <c r="T100" s="3"/>
      <c r="U100" s="3"/>
      <c r="V100" s="22"/>
      <c r="W100" s="3"/>
      <c r="X100" s="103"/>
      <c r="Y100" s="103"/>
      <c r="Z100" s="103"/>
      <c r="AA100" s="103"/>
      <c r="AB100" s="103"/>
      <c r="AC100" s="103"/>
      <c r="AD100" s="103"/>
      <c r="AE100" s="103"/>
      <c r="AF100" s="103"/>
      <c r="AG100" s="103"/>
      <c r="AH100" s="103"/>
      <c r="AI100" s="103"/>
      <c r="AJ100" s="103"/>
      <c r="AK100" s="92"/>
      <c r="AL100" s="92"/>
      <c r="AM100" s="92"/>
      <c r="AN100" s="92"/>
      <c r="AO100" s="92"/>
      <c r="AP100" s="92"/>
      <c r="AQ100" s="92"/>
      <c r="AR100" s="92"/>
      <c r="AS100" s="92"/>
      <c r="AT100" s="92"/>
      <c r="AU100" s="92"/>
      <c r="AV100" s="92"/>
      <c r="AW100" s="92"/>
      <c r="AX100" s="92"/>
      <c r="AY100" s="92"/>
      <c r="AZ100" s="13"/>
      <c r="BA100" s="87"/>
      <c r="BB100" s="87"/>
      <c r="BC100" s="87"/>
      <c r="BD100" s="87"/>
      <c r="BE100" s="87"/>
      <c r="BF100" s="87"/>
      <c r="BG100" s="87"/>
      <c r="BH100" s="87"/>
      <c r="BI100" s="87"/>
      <c r="BJ100" s="202"/>
    </row>
    <row r="101" spans="1:62" x14ac:dyDescent="0.2">
      <c r="A101" s="202"/>
      <c r="B101" s="3"/>
      <c r="C101" s="3"/>
      <c r="D101" s="3"/>
      <c r="E101" s="3"/>
      <c r="F101" s="3"/>
      <c r="G101" s="3"/>
      <c r="H101" s="3"/>
      <c r="I101" s="178" t="s">
        <v>66</v>
      </c>
      <c r="J101" s="27"/>
      <c r="K101" s="16"/>
      <c r="L101" s="102" t="str">
        <f>CONCATENATE(ROUND(AJ30,2),N22," * ",ROUND(N90,2),O90," =")</f>
        <v>0.75KT * 2005.56$/TON =</v>
      </c>
      <c r="M101" s="100">
        <f>ROUND((N90*AJ30)/LOOKUP(1,J28:J30,L28:L30),3)</f>
        <v>1.5</v>
      </c>
      <c r="N101" s="101" t="str">
        <f>CONCATENATE(LOOKUP(1,J28:J30,M28:M30)," pa")</f>
        <v>M$ pa</v>
      </c>
      <c r="O101" s="99">
        <f t="shared" ref="O101:O103" si="18">IF(M101&lt;&gt;0,M101/F86-1,"")</f>
        <v>0</v>
      </c>
      <c r="P101" s="167" t="str">
        <f t="shared" ref="P101:P103" si="19">IF(OR(O101=0,O101=""),"",IF(O101&lt;0,"DECREASE","INCREASE"))</f>
        <v/>
      </c>
      <c r="R101" s="3"/>
      <c r="S101" s="3"/>
      <c r="T101" s="3"/>
      <c r="U101" s="3"/>
      <c r="V101" s="22"/>
      <c r="W101" s="3"/>
      <c r="X101" s="103"/>
      <c r="Y101" s="103"/>
      <c r="Z101" s="103"/>
      <c r="AA101" s="103"/>
      <c r="AB101" s="103"/>
      <c r="AC101" s="103"/>
      <c r="AD101" s="103"/>
      <c r="AE101" s="103"/>
      <c r="AF101" s="103"/>
      <c r="AG101" s="103"/>
      <c r="AH101" s="103"/>
      <c r="AI101" s="103"/>
      <c r="AJ101" s="103"/>
      <c r="AK101" s="92"/>
      <c r="AL101" s="92"/>
      <c r="AM101" s="92"/>
      <c r="AN101" s="92"/>
      <c r="AO101" s="92"/>
      <c r="AP101" s="92"/>
      <c r="AQ101" s="92"/>
      <c r="AR101" s="92"/>
      <c r="AS101" s="92"/>
      <c r="AT101" s="92"/>
      <c r="AU101" s="92"/>
      <c r="AV101" s="92"/>
      <c r="AW101" s="92"/>
      <c r="AX101" s="92"/>
      <c r="AY101" s="92"/>
      <c r="AZ101" s="13"/>
      <c r="BA101" s="87"/>
      <c r="BB101" s="87"/>
      <c r="BC101" s="87"/>
      <c r="BD101" s="87"/>
      <c r="BE101" s="87"/>
      <c r="BF101" s="87"/>
      <c r="BG101" s="87"/>
      <c r="BH101" s="87"/>
      <c r="BI101" s="87"/>
      <c r="BJ101" s="202"/>
    </row>
    <row r="102" spans="1:62" x14ac:dyDescent="0.2">
      <c r="A102" s="202"/>
      <c r="B102" s="3"/>
      <c r="C102" s="3"/>
      <c r="D102" s="3"/>
      <c r="E102" s="3"/>
      <c r="F102" s="3"/>
      <c r="G102" s="196"/>
      <c r="H102" s="3"/>
      <c r="I102" s="178" t="s">
        <v>52</v>
      </c>
      <c r="J102" s="27"/>
      <c r="K102" s="16"/>
      <c r="L102" s="102" t="str">
        <f>CONCATENATE(M26,"/365 * ",ROUND(AJ30,2),N22," * ",ROUND(N90,2),O90," =")</f>
        <v>30/365 * 0.75KT * 2005.56$/TON =</v>
      </c>
      <c r="M102" s="100">
        <f>ROUND((M101*M26/365),3)</f>
        <v>0.123</v>
      </c>
      <c r="N102" s="101" t="str">
        <f>CONCATENATE(LOOKUP(1,J28:J30,M28:M30)," pa")</f>
        <v>M$ pa</v>
      </c>
      <c r="O102" s="99">
        <f t="shared" si="18"/>
        <v>0</v>
      </c>
      <c r="P102" s="167" t="str">
        <f t="shared" si="19"/>
        <v/>
      </c>
      <c r="R102" s="3"/>
      <c r="S102" s="3"/>
      <c r="T102" s="3"/>
      <c r="U102" s="3"/>
      <c r="V102" s="22"/>
      <c r="W102" s="3"/>
      <c r="X102" s="103"/>
      <c r="Y102" s="103"/>
      <c r="Z102" s="103"/>
      <c r="AA102" s="103"/>
      <c r="AB102" s="103"/>
      <c r="AC102" s="103"/>
      <c r="AD102" s="103"/>
      <c r="AE102" s="103"/>
      <c r="AF102" s="103"/>
      <c r="AG102" s="103"/>
      <c r="AH102" s="103"/>
      <c r="AI102" s="103"/>
      <c r="AJ102" s="103"/>
      <c r="AK102" s="92"/>
      <c r="AL102" s="92"/>
      <c r="AM102" s="92"/>
      <c r="AN102" s="92"/>
      <c r="AO102" s="92"/>
      <c r="AP102" s="92"/>
      <c r="AQ102" s="92"/>
      <c r="AR102" s="92"/>
      <c r="AS102" s="92"/>
      <c r="AT102" s="92"/>
      <c r="AU102" s="92"/>
      <c r="AV102" s="92"/>
      <c r="AW102" s="92"/>
      <c r="AX102" s="92"/>
      <c r="AY102" s="92"/>
      <c r="AZ102" s="13"/>
      <c r="BA102" s="87"/>
      <c r="BB102" s="87"/>
      <c r="BC102" s="87"/>
      <c r="BD102" s="87"/>
      <c r="BE102" s="87"/>
      <c r="BF102" s="87"/>
      <c r="BG102" s="87"/>
      <c r="BH102" s="87"/>
      <c r="BI102" s="87"/>
      <c r="BJ102" s="202"/>
    </row>
    <row r="103" spans="1:62" x14ac:dyDescent="0.2">
      <c r="A103" s="202"/>
      <c r="B103" s="3"/>
      <c r="C103" s="3"/>
      <c r="D103" s="3"/>
      <c r="E103" s="3"/>
      <c r="F103" s="3"/>
      <c r="G103" s="3"/>
      <c r="H103" s="3"/>
      <c r="I103" s="149"/>
      <c r="J103" s="27"/>
      <c r="K103" s="143"/>
      <c r="L103" s="179" t="s">
        <v>93</v>
      </c>
      <c r="M103" s="156">
        <f>SUM(M101:M102)</f>
        <v>1.623</v>
      </c>
      <c r="N103" s="155" t="str">
        <f>CONCATENATE(LOOKUP(1,J28:J30,M28:M30)," pa")</f>
        <v>M$ pa</v>
      </c>
      <c r="O103" s="158">
        <f t="shared" si="18"/>
        <v>0</v>
      </c>
      <c r="P103" s="165" t="str">
        <f t="shared" si="19"/>
        <v/>
      </c>
      <c r="Q103" s="159"/>
      <c r="R103" s="3"/>
      <c r="S103" s="3"/>
      <c r="T103" s="3"/>
      <c r="U103" s="3"/>
      <c r="V103" s="22"/>
      <c r="W103" s="3"/>
      <c r="X103" s="103"/>
      <c r="Y103" s="103"/>
      <c r="Z103" s="103"/>
      <c r="AA103" s="103"/>
      <c r="AB103" s="103"/>
      <c r="AC103" s="103"/>
      <c r="AD103" s="103"/>
      <c r="AE103" s="103"/>
      <c r="AF103" s="103"/>
      <c r="AG103" s="103"/>
      <c r="AH103" s="103"/>
      <c r="AI103" s="103"/>
      <c r="AJ103" s="103"/>
      <c r="AK103" s="92"/>
      <c r="AL103" s="92"/>
      <c r="AM103" s="92"/>
      <c r="AN103" s="92"/>
      <c r="AO103" s="92"/>
      <c r="AP103" s="92"/>
      <c r="AQ103" s="92"/>
      <c r="AR103" s="92"/>
      <c r="AS103" s="92"/>
      <c r="AT103" s="92"/>
      <c r="AU103" s="92"/>
      <c r="AV103" s="92"/>
      <c r="AW103" s="92"/>
      <c r="AX103" s="92"/>
      <c r="AY103" s="92"/>
      <c r="AZ103" s="13"/>
      <c r="BA103" s="87"/>
      <c r="BB103" s="87"/>
      <c r="BC103" s="87"/>
      <c r="BD103" s="87"/>
      <c r="BE103" s="87"/>
      <c r="BF103" s="87"/>
      <c r="BG103" s="87"/>
      <c r="BH103" s="87"/>
      <c r="BI103" s="87"/>
      <c r="BJ103" s="202"/>
    </row>
    <row r="104" spans="1:62" ht="3" customHeight="1" x14ac:dyDescent="0.2">
      <c r="A104" s="202"/>
      <c r="B104" s="3"/>
      <c r="C104" s="3"/>
      <c r="D104" s="3"/>
      <c r="E104" s="3"/>
      <c r="F104" s="104"/>
      <c r="G104" s="105"/>
      <c r="H104" s="105"/>
      <c r="I104" s="105"/>
      <c r="J104" s="103"/>
      <c r="K104" s="103"/>
      <c r="L104" s="3"/>
      <c r="M104" s="3"/>
      <c r="N104" s="3"/>
      <c r="O104" s="3"/>
      <c r="P104" s="3"/>
      <c r="Q104" s="3"/>
      <c r="R104" s="3"/>
      <c r="S104" s="3"/>
      <c r="T104" s="3"/>
      <c r="U104" s="3"/>
      <c r="V104" s="90"/>
      <c r="W104" s="3"/>
      <c r="X104" s="103"/>
      <c r="Y104" s="103"/>
      <c r="Z104" s="103"/>
      <c r="AA104" s="103"/>
      <c r="AB104" s="103"/>
      <c r="AC104" s="103"/>
      <c r="AD104" s="103"/>
      <c r="AE104" s="103"/>
      <c r="AF104" s="103"/>
      <c r="AG104" s="103"/>
      <c r="AH104" s="103"/>
      <c r="AI104" s="103"/>
      <c r="AJ104" s="103"/>
      <c r="AK104" s="92"/>
      <c r="AL104" s="92"/>
      <c r="AM104" s="92"/>
      <c r="AN104" s="92"/>
      <c r="AO104" s="92"/>
      <c r="AP104" s="92"/>
      <c r="AQ104" s="92"/>
      <c r="AR104" s="92"/>
      <c r="AS104" s="92"/>
      <c r="AT104" s="92"/>
      <c r="AU104" s="92"/>
      <c r="AV104" s="92"/>
      <c r="AW104" s="92"/>
      <c r="AX104" s="92"/>
      <c r="AY104" s="92"/>
      <c r="AZ104" s="13"/>
      <c r="BA104" s="87"/>
      <c r="BB104" s="87"/>
      <c r="BC104" s="87"/>
      <c r="BD104" s="87"/>
      <c r="BE104" s="87"/>
      <c r="BF104" s="87"/>
      <c r="BG104" s="87"/>
      <c r="BH104" s="87"/>
      <c r="BI104" s="87"/>
      <c r="BJ104" s="202"/>
    </row>
    <row r="105" spans="1:62" x14ac:dyDescent="0.2">
      <c r="AK105" s="13"/>
      <c r="AL105" s="13"/>
      <c r="AM105" s="32"/>
      <c r="AN105" s="17"/>
      <c r="AO105" s="13"/>
      <c r="AP105" s="13"/>
      <c r="AQ105" s="32"/>
      <c r="AR105" s="32"/>
      <c r="AS105" s="32"/>
      <c r="AT105" s="32"/>
      <c r="AU105" s="32"/>
      <c r="AV105" s="32"/>
      <c r="AW105" s="32"/>
      <c r="AX105" s="32"/>
      <c r="AY105" s="17"/>
      <c r="AZ105" s="13"/>
      <c r="BA105" s="13"/>
      <c r="BB105" s="13"/>
      <c r="BC105" s="13"/>
      <c r="BD105" s="13"/>
      <c r="BE105" s="13"/>
      <c r="BF105" s="13"/>
      <c r="BG105" s="13"/>
      <c r="BH105" s="13"/>
      <c r="BI105" s="13"/>
    </row>
    <row r="106" spans="1:62" x14ac:dyDescent="0.2">
      <c r="AK106" s="13"/>
      <c r="AL106" s="13"/>
      <c r="AM106" s="13"/>
      <c r="AN106" s="13"/>
      <c r="AO106" s="13"/>
      <c r="AP106" s="13"/>
      <c r="AQ106" s="13"/>
      <c r="AR106" s="13"/>
      <c r="AS106" s="13"/>
      <c r="AT106" s="13"/>
      <c r="AU106" s="13"/>
      <c r="AV106" s="13"/>
      <c r="AW106" s="13"/>
      <c r="AX106" s="13"/>
      <c r="AY106" s="13"/>
      <c r="AZ106" s="32"/>
      <c r="BA106" s="13"/>
      <c r="BB106" s="13"/>
      <c r="BC106" s="13"/>
      <c r="BD106" s="13"/>
      <c r="BE106" s="13"/>
      <c r="BF106" s="13"/>
      <c r="BG106" s="13"/>
      <c r="BH106" s="13"/>
      <c r="BI106" s="13"/>
    </row>
    <row r="107" spans="1:62" x14ac:dyDescent="0.2">
      <c r="AK107" s="13"/>
      <c r="AL107" s="13"/>
      <c r="AM107" s="106"/>
      <c r="AN107" s="79"/>
      <c r="AO107" s="13"/>
      <c r="AP107" s="13"/>
      <c r="AQ107" s="13"/>
      <c r="AR107" s="13"/>
      <c r="AS107" s="13"/>
      <c r="AT107" s="13"/>
      <c r="AU107" s="13"/>
      <c r="AV107" s="13"/>
      <c r="AW107" s="13"/>
      <c r="AX107" s="106"/>
      <c r="AY107" s="79"/>
      <c r="AZ107" s="10"/>
      <c r="BA107" s="13"/>
      <c r="BB107" s="13"/>
      <c r="BC107" s="13"/>
      <c r="BD107" s="13"/>
      <c r="BE107" s="13"/>
      <c r="BF107" s="13"/>
      <c r="BG107" s="13"/>
      <c r="BH107" s="13"/>
      <c r="BI107" s="13"/>
    </row>
    <row r="108" spans="1:62" x14ac:dyDescent="0.2">
      <c r="AK108" s="13"/>
      <c r="AL108" s="13"/>
      <c r="AM108" s="13"/>
      <c r="AN108" s="13"/>
      <c r="AO108" s="13"/>
      <c r="AP108" s="13"/>
      <c r="AQ108" s="13"/>
      <c r="AR108" s="13"/>
      <c r="AS108" s="13"/>
      <c r="AT108" s="13"/>
      <c r="AU108" s="13"/>
      <c r="AV108" s="13"/>
      <c r="AW108" s="13"/>
      <c r="AX108" s="13"/>
      <c r="AY108" s="13"/>
      <c r="AZ108" s="10"/>
      <c r="BA108" s="13"/>
      <c r="BB108" s="13"/>
      <c r="BC108" s="13"/>
      <c r="BD108" s="13"/>
      <c r="BE108" s="13"/>
      <c r="BF108" s="13"/>
      <c r="BG108" s="13"/>
      <c r="BH108" s="13"/>
      <c r="BI108" s="13"/>
    </row>
    <row r="109" spans="1:62" x14ac:dyDescent="0.2">
      <c r="AK109" s="13"/>
      <c r="AL109" s="13"/>
      <c r="AM109" s="10"/>
      <c r="AN109" s="40"/>
      <c r="AO109" s="40"/>
      <c r="AP109" s="40"/>
      <c r="AQ109" s="40"/>
      <c r="AR109" s="40"/>
      <c r="AS109" s="40"/>
      <c r="AT109" s="40"/>
      <c r="AU109" s="40"/>
      <c r="AV109" s="40"/>
      <c r="AW109" s="40"/>
      <c r="AX109" s="40"/>
      <c r="AY109" s="40"/>
      <c r="AZ109" s="6"/>
      <c r="BA109" s="13"/>
      <c r="BB109" s="13"/>
      <c r="BC109" s="13"/>
      <c r="BD109" s="13"/>
      <c r="BE109" s="13"/>
      <c r="BF109" s="13"/>
      <c r="BG109" s="13"/>
      <c r="BH109" s="13"/>
      <c r="BI109" s="13"/>
    </row>
    <row r="110" spans="1:62" x14ac:dyDescent="0.2">
      <c r="AK110" s="13"/>
      <c r="AL110" s="13"/>
      <c r="AM110" s="13"/>
      <c r="AN110" s="13"/>
      <c r="AO110" s="13"/>
      <c r="AP110" s="13"/>
      <c r="AQ110" s="13"/>
      <c r="AR110" s="13"/>
      <c r="AS110" s="13"/>
      <c r="AT110" s="13"/>
      <c r="AU110" s="13"/>
      <c r="AV110" s="13"/>
      <c r="AW110" s="13"/>
      <c r="AX110" s="13"/>
      <c r="AY110" s="13"/>
      <c r="AZ110" s="10"/>
      <c r="BA110" s="13"/>
      <c r="BB110" s="13"/>
      <c r="BC110" s="13"/>
      <c r="BD110" s="13"/>
      <c r="BE110" s="13"/>
      <c r="BF110" s="13"/>
      <c r="BG110" s="13"/>
      <c r="BH110" s="13"/>
      <c r="BI110" s="13"/>
    </row>
    <row r="111" spans="1:62" x14ac:dyDescent="0.2">
      <c r="AK111" s="91"/>
      <c r="AL111" s="91"/>
      <c r="AM111" s="91"/>
      <c r="AN111" s="91"/>
      <c r="AO111" s="91"/>
      <c r="AP111" s="91"/>
      <c r="AQ111" s="91"/>
      <c r="AR111" s="91"/>
      <c r="AS111" s="91"/>
      <c r="AT111" s="91"/>
      <c r="AU111" s="91"/>
      <c r="AV111" s="91"/>
      <c r="AW111" s="91"/>
      <c r="AX111" s="91"/>
      <c r="AY111" s="91"/>
      <c r="AZ111" s="91"/>
      <c r="BA111" s="91"/>
      <c r="BB111" s="91"/>
      <c r="BC111" s="91"/>
      <c r="BD111" s="91"/>
      <c r="BE111" s="91"/>
      <c r="BF111" s="91"/>
      <c r="BG111" s="91"/>
      <c r="BH111" s="91"/>
      <c r="BI111" s="91"/>
    </row>
  </sheetData>
  <sheetProtection selectLockedCells="1"/>
  <mergeCells count="10">
    <mergeCell ref="A72:A104"/>
    <mergeCell ref="BJ72:BJ104"/>
    <mergeCell ref="A1:BJ1"/>
    <mergeCell ref="A3:A37"/>
    <mergeCell ref="B3:AJ3"/>
    <mergeCell ref="BJ3:BJ37"/>
    <mergeCell ref="I5:U5"/>
    <mergeCell ref="X5:AJ5"/>
    <mergeCell ref="AM5:AY5"/>
    <mergeCell ref="B6:C6"/>
  </mergeCells>
  <conditionalFormatting sqref="B8">
    <cfRule type="expression" dxfId="5" priority="6">
      <formula>SUM($B$9:$B$11)&lt;&gt;1</formula>
    </cfRule>
  </conditionalFormatting>
  <conditionalFormatting sqref="B22">
    <cfRule type="expression" dxfId="4" priority="5">
      <formula>SUM($B$23:$B$26,$D$23:$D$26,$F$23,$F$25)&lt;&gt;1</formula>
    </cfRule>
  </conditionalFormatting>
  <conditionalFormatting sqref="U20">
    <cfRule type="expression" dxfId="3" priority="4">
      <formula>$U$20&lt;&gt;100%</formula>
    </cfRule>
  </conditionalFormatting>
  <conditionalFormatting sqref="AJ20">
    <cfRule type="expression" dxfId="2" priority="3">
      <formula>$AJ$20&lt;&gt;100%</formula>
    </cfRule>
  </conditionalFormatting>
  <conditionalFormatting sqref="I6">
    <cfRule type="expression" dxfId="1" priority="2">
      <formula>$U$6=""</formula>
    </cfRule>
  </conditionalFormatting>
  <conditionalFormatting sqref="X6">
    <cfRule type="expression" dxfId="0" priority="1">
      <formula>$AJ$6=""</formula>
    </cfRule>
  </conditionalFormatting>
  <printOptions horizontalCentered="1"/>
  <pageMargins left="0.25" right="0.25" top="0.75" bottom="0.75" header="0.3" footer="0.3"/>
  <pageSetup paperSize="9" scale="65" fitToHeight="0" orientation="landscape" r:id="rId1"/>
  <headerFooter>
    <oddHeader>&amp;L&amp;"Arial Black,Regular"&amp;12Value-in-Use Calculator&amp;C&amp;"Arial Black,Regular"&amp;8print-out date : &amp;D&amp;R&amp;"Arial Black,Regular"&amp;12ExxonMobil</oddHeader>
    <oddFooter>&amp;L&amp;"Arial Black,Regular"&amp;8Page &amp;P of &amp;N&amp;R&amp;"Arial Black,Regular"&amp;8&amp;F - &amp;A</oddFooter>
  </headerFooter>
  <rowBreaks count="2" manualBreakCount="2">
    <brk id="38" max="16383" man="1"/>
    <brk id="70" max="16383" man="1"/>
  </rowBreaks>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H4"/>
  <sheetViews>
    <sheetView workbookViewId="0">
      <selection activeCell="F8" sqref="F8"/>
    </sheetView>
  </sheetViews>
  <sheetFormatPr defaultColWidth="8.7109375" defaultRowHeight="12.75" x14ac:dyDescent="0.2"/>
  <cols>
    <col min="1" max="1" width="15.85546875" style="197" customWidth="1"/>
    <col min="2" max="2" width="10" style="198" customWidth="1"/>
    <col min="3" max="3" width="17.5703125" style="197" customWidth="1"/>
    <col min="4" max="4" width="13.7109375" style="198" customWidth="1"/>
    <col min="5" max="5" width="8.7109375" style="197"/>
    <col min="6" max="6" width="15.42578125" style="198" customWidth="1"/>
    <col min="7" max="7" width="8.7109375" style="197"/>
    <col min="8" max="8" width="19.42578125" style="198" bestFit="1" customWidth="1"/>
    <col min="9" max="16384" width="8.7109375" style="197"/>
  </cols>
  <sheetData>
    <row r="2" spans="1:8" ht="51" x14ac:dyDescent="0.2">
      <c r="B2" s="198" t="str">
        <f>CONCATENATE(CALCULATOR00!$B$72," (",CALCULATOR00!G78,")")</f>
        <v>REALIZATION for REFERENCE (M$ pa)</v>
      </c>
      <c r="D2" s="198" t="str">
        <f>CONCATENATE(CALCULATOR00!$I$74," (",CALCULATOR00!G78,")")</f>
        <v>CONVERTER SELLS @ CONSTANT $/TON (M$ pa)</v>
      </c>
      <c r="F2" s="198" t="str">
        <f>CONCATENATE(CALCULATOR00!$I$90," (",CALCULATOR00!G78,")")</f>
        <v>CONVERTER SELLS @ CONSTANT $ per 1000 sq m (M$ pa)</v>
      </c>
      <c r="H2" s="198" t="str">
        <f>CONCATENATE(CALCULATOR00!X72," (",CALCULATOR00!G78,")")</f>
        <v>REALIZATION FOR ALTERNATIVE @ EXAMPLE SALES PRICE (M$ pa)</v>
      </c>
    </row>
    <row r="3" spans="1:8" ht="63.75" x14ac:dyDescent="0.2">
      <c r="A3" s="197" t="str">
        <f>CALCULATOR00!$B$77</f>
        <v>CONVERTER BENEFITS - ON 1KT BUSINESS</v>
      </c>
      <c r="B3" s="199">
        <f>CALCULATOR00!F82</f>
        <v>8.5136986299999912E-2</v>
      </c>
      <c r="C3" s="197" t="str">
        <f>CALCULATOR00!I77</f>
        <v>CONVERTER BENEFITS - ON 1KT BUSINESS</v>
      </c>
      <c r="D3" s="199">
        <f>CALCULATOR00!M82</f>
        <v>4.7260273999999991E-2</v>
      </c>
      <c r="E3" s="197" t="str">
        <f>CALCULATOR00!I92</f>
        <v>CONVERTER BENEFITS - ON 1KT BUSINESS</v>
      </c>
      <c r="F3" s="199">
        <f>CALCULATOR00!M97</f>
        <v>0.55326027399999977</v>
      </c>
      <c r="G3" s="197" t="str">
        <f>CALCULATOR00!X77</f>
        <v>CONVERTER BENEFITS - ON 1KT BUSINESS</v>
      </c>
      <c r="H3" s="199">
        <f>CALCULATOR00!AB82</f>
        <v>0.29726027399999999</v>
      </c>
    </row>
    <row r="4" spans="1:8" ht="76.5" x14ac:dyDescent="0.2">
      <c r="A4" s="197" t="str">
        <f>CALCULATOR00!$B$85</f>
        <v>DOWNSTREAM PLAYER PURCHASING COSTS</v>
      </c>
      <c r="B4" s="199">
        <f>CALCULATOR00!F88</f>
        <v>1.623</v>
      </c>
      <c r="C4" s="197" t="str">
        <f>CALCULATOR00!I85</f>
        <v>DOWNSTREAM PLAYER PURCHASING COSTS - BUYING SAME sq m</v>
      </c>
      <c r="D4" s="199">
        <f>CALCULATOR00!M88</f>
        <v>1.2142191781</v>
      </c>
      <c r="E4" s="197" t="str">
        <f>CALCULATOR00!I100</f>
        <v>DOWNSTREAM PLAYER PURCHASING COSTS - BUYING SAME sq m</v>
      </c>
      <c r="F4" s="199">
        <f>CALCULATOR00!M103</f>
        <v>1.623</v>
      </c>
      <c r="G4" s="197" t="str">
        <f>CALCULATOR00!X85</f>
        <v>DOWNSTREAM PLAYER PURCHASING COSTS - BUYING SAME sq m</v>
      </c>
      <c r="H4" s="199">
        <f>CALCULATOR00!AB88</f>
        <v>1.4165890410999999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Archive_x003f_ xmlns="98384686-fbeb-4579-ad37-71b10abba422">No</Archive_x003f_>
    <Application xmlns="98384686-fbeb-4579-ad37-71b10abba422">ViU</Application>
    <ReviewDate xmlns="98384686-fbeb-4579-ad37-71b10abba422">2020-10-22T05:00:00+00:00</ReviewDate>
    <Category xmlns="98384686-fbeb-4579-ad37-71b10abba422" xsi:nil="true"/>
    <AL_Content xmlns="98384686-fbeb-4579-ad37-71b10abba422">TBD</AL_Content>
    <AL_Audience_Level xmlns="98384686-fbeb-4579-ad37-71b10abba422">Beginner</AL_Audience_Level>
    <AL_Restricted_to_SRA xmlns="98384686-fbeb-4579-ad37-71b10abba422">false</AL_Restricted_to_SRA>
    <AL_Log xmlns="98384686-fbeb-4579-ad37-71b10abba422" xsi:nil="true"/>
    <c68dcc8850e3487c9696b709643e4e9d xmlns="b64dfe67-8052-4ffe-b5cd-8d29095c30a6">
      <Terms xmlns="http://schemas.microsoft.com/office/infopath/2007/PartnerControls"/>
    </c68dcc8850e3487c9696b709643e4e9d>
    <p9dbb6b452f442bcb24cb960282d400a xmlns="98384686-fbeb-4579-ad37-71b10abba422">
      <Terms xmlns="http://schemas.microsoft.com/office/infopath/2007/PartnerControls"/>
    </p9dbb6b452f442bcb24cb960282d400a>
    <pd3afc85837d4c948d575dcb58ce28be xmlns="b64dfe67-8052-4ffe-b5cd-8d29095c30a6">
      <Terms xmlns="http://schemas.microsoft.com/office/infopath/2007/PartnerControls">
        <TermInfo xmlns="http://schemas.microsoft.com/office/infopath/2007/PartnerControls">
          <TermName xmlns="http://schemas.microsoft.com/office/infopath/2007/PartnerControls">Internal</TermName>
          <TermId xmlns="http://schemas.microsoft.com/office/infopath/2007/PartnerControls">a181b97f-586d-444f-93f6-a9de4555a416</TermId>
        </TermInfo>
      </Terms>
    </pd3afc85837d4c948d575dcb58ce28be>
    <AL_Picture xmlns="98384686-fbeb-4579-ad37-71b10abba422" xsi:nil="true"/>
    <TaxCatchAll xmlns="bb89c972-4a04-4d58-9f04-6f2fa2f1c546">
      <Value>18</Value>
    </TaxCatchAll>
    <AL_Author xmlns="98384686-fbeb-4579-ad37-71b10abba422">
      <UserInfo>
        <DisplayName>Van Der Sanden, Dirk</DisplayName>
        <AccountId>43</AccountId>
        <AccountType/>
      </UserInfo>
    </AL_Author>
    <AL_ID xmlns="98384686-fbeb-4579-ad37-71b10abba422" xsi:nil="true"/>
    <Sustainability_x0020_Feature xmlns="98384686-fbeb-4579-ad37-71b10abba422">Yes</Sustainability_x0020_Featur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BFD56AC52C53346B702CFBFB3E1EB78" ma:contentTypeVersion="26" ma:contentTypeDescription="Create a new document." ma:contentTypeScope="" ma:versionID="1fad9350be4f1e5134b1ad427b877ea7">
  <xsd:schema xmlns:xsd="http://www.w3.org/2001/XMLSchema" xmlns:xs="http://www.w3.org/2001/XMLSchema" xmlns:p="http://schemas.microsoft.com/office/2006/metadata/properties" xmlns:ns2="98384686-fbeb-4579-ad37-71b10abba422" xmlns:ns3="b64dfe67-8052-4ffe-b5cd-8d29095c30a6" xmlns:ns4="bb89c972-4a04-4d58-9f04-6f2fa2f1c546" targetNamespace="http://schemas.microsoft.com/office/2006/metadata/properties" ma:root="true" ma:fieldsID="53697e2ef5fb2da581e964d5a3ef4f79" ns2:_="" ns3:_="" ns4:_="">
    <xsd:import namespace="98384686-fbeb-4579-ad37-71b10abba422"/>
    <xsd:import namespace="b64dfe67-8052-4ffe-b5cd-8d29095c30a6"/>
    <xsd:import namespace="bb89c972-4a04-4d58-9f04-6f2fa2f1c546"/>
    <xsd:element name="properties">
      <xsd:complexType>
        <xsd:sequence>
          <xsd:element name="documentManagement">
            <xsd:complexType>
              <xsd:all>
                <xsd:element ref="ns2:Application"/>
                <xsd:element ref="ns2:ReviewDate"/>
                <xsd:element ref="ns2:Archive_x003f_"/>
                <xsd:element ref="ns2:Category" minOccurs="0"/>
                <xsd:element ref="ns2:AL_Content" minOccurs="0"/>
                <xsd:element ref="ns2:AL_Audience_Level" minOccurs="0"/>
                <xsd:element ref="ns2:AL_Restricted_to_SRA" minOccurs="0"/>
                <xsd:element ref="ns3:pd3afc85837d4c948d575dcb58ce28be" minOccurs="0"/>
                <xsd:element ref="ns4:TaxCatchAll" minOccurs="0"/>
                <xsd:element ref="ns3:c68dcc8850e3487c9696b709643e4e9d" minOccurs="0"/>
                <xsd:element ref="ns2:AL_Picture" minOccurs="0"/>
                <xsd:element ref="ns2:AL_ID" minOccurs="0"/>
                <xsd:element ref="ns2:AL_Log" minOccurs="0"/>
                <xsd:element ref="ns2:AL_Author" minOccurs="0"/>
                <xsd:element ref="ns2:p9dbb6b452f442bcb24cb960282d400a" minOccurs="0"/>
                <xsd:element ref="ns2:Sustainability_x0020_Feature"/>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384686-fbeb-4579-ad37-71b10abba422" elementFormDefault="qualified">
    <xsd:import namespace="http://schemas.microsoft.com/office/2006/documentManagement/types"/>
    <xsd:import namespace="http://schemas.microsoft.com/office/infopath/2007/PartnerControls"/>
    <xsd:element name="Application" ma:index="8" ma:displayName="Application" ma:format="Dropdown" ma:internalName="Application">
      <xsd:simpleType>
        <xsd:restriction base="dms:Choice">
          <xsd:enumeration value="Agricultural Films"/>
          <xsd:enumeration value="Extrusion Coating"/>
          <xsd:enumeration value="Primary packaging - dry"/>
          <xsd:enumeration value="Geomembrane"/>
          <xsd:enumeration value="Heavy Duty Sacks"/>
          <xsd:enumeration value="Hygiene"/>
          <xsd:enumeration value="Liquid Packaging"/>
          <xsd:enumeration value="Shrink"/>
          <xsd:enumeration value="Stretch"/>
          <xsd:enumeration value="Wire &amp; Cable"/>
          <xsd:enumeration value="Product Family"/>
          <xsd:enumeration value="Sustainability"/>
          <xsd:enumeration value="ViU"/>
          <xsd:enumeration value="SPEED"/>
          <xsd:enumeration value="Thin Liner"/>
          <xsd:enumeration value="Building &amp; Construction"/>
        </xsd:restriction>
      </xsd:simpleType>
    </xsd:element>
    <xsd:element name="ReviewDate" ma:index="9" ma:displayName="Review Date" ma:format="DateOnly" ma:internalName="ReviewDate">
      <xsd:simpleType>
        <xsd:restriction base="dms:DateTime"/>
      </xsd:simpleType>
    </xsd:element>
    <xsd:element name="Archive_x003f_" ma:index="11" ma:displayName="Archive?" ma:default="No" ma:format="Dropdown" ma:internalName="Archive_x003f_">
      <xsd:simpleType>
        <xsd:restriction base="dms:Choice">
          <xsd:enumeration value="No"/>
          <xsd:enumeration value="Yes"/>
        </xsd:restriction>
      </xsd:simpleType>
    </xsd:element>
    <xsd:element name="Category" ma:index="12" nillable="true" ma:displayName="Category" ma:format="Dropdown" ma:internalName="Category">
      <xsd:simpleType>
        <xsd:restriction base="dms:Choice">
          <xsd:enumeration value="Historical Training Materials"/>
          <xsd:enumeration value="Internal ViU Tools"/>
          <xsd:enumeration value="External ViU tools"/>
        </xsd:restriction>
      </xsd:simpleType>
    </xsd:element>
    <xsd:element name="AL_Content" ma:index="13" nillable="true" ma:displayName="AL_Content" ma:default="TBD" ma:format="Dropdown" ma:internalName="AL_Content">
      <xsd:simpleType>
        <xsd:restriction base="dms:Choice">
          <xsd:enumeration value="TBD"/>
          <xsd:enumeration value="Yes"/>
          <xsd:enumeration value="No"/>
        </xsd:restriction>
      </xsd:simpleType>
    </xsd:element>
    <xsd:element name="AL_Audience_Level" ma:index="14" nillable="true" ma:displayName="AL_Audience_Level" ma:default="Beginner" ma:format="Dropdown" ma:internalName="AL_Audience_Level">
      <xsd:simpleType>
        <xsd:restriction base="dms:Choice">
          <xsd:enumeration value="Beginner"/>
          <xsd:enumeration value="Intermediate"/>
          <xsd:enumeration value="Advanced"/>
        </xsd:restriction>
      </xsd:simpleType>
    </xsd:element>
    <xsd:element name="AL_Restricted_to_SRA" ma:index="15" nillable="true" ma:displayName="AL_Restricted_to_SRA" ma:default="1" ma:internalName="AL_Restricted_to_SRA">
      <xsd:simpleType>
        <xsd:restriction base="dms:Boolean"/>
      </xsd:simpleType>
    </xsd:element>
    <xsd:element name="AL_Picture" ma:index="21" nillable="true" ma:displayName="AL_Picture" ma:internalName="AL_Picture">
      <xsd:simpleType>
        <xsd:restriction base="dms:Text">
          <xsd:maxLength value="255"/>
        </xsd:restriction>
      </xsd:simpleType>
    </xsd:element>
    <xsd:element name="AL_ID" ma:index="22" nillable="true" ma:displayName="AL_ID" ma:indexed="true" ma:internalName="AL_ID">
      <xsd:simpleType>
        <xsd:restriction base="dms:Text">
          <xsd:maxLength value="255"/>
        </xsd:restriction>
      </xsd:simpleType>
    </xsd:element>
    <xsd:element name="AL_Log" ma:index="23" nillable="true" ma:displayName="AL_Log" ma:internalName="AL_Log">
      <xsd:simpleType>
        <xsd:restriction base="dms:Text">
          <xsd:maxLength value="255"/>
        </xsd:restriction>
      </xsd:simpleType>
    </xsd:element>
    <xsd:element name="AL_Author" ma:index="24" nillable="true" ma:displayName="AL_Author" ma:list="UserInfo" ma:SharePointGroup="0" ma:internalName="AL_Autho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p9dbb6b452f442bcb24cb960282d400a" ma:index="26" nillable="true" ma:taxonomy="true" ma:internalName="p9dbb6b452f442bcb24cb960282d400a" ma:taxonomyFieldName="AL_Keywords" ma:displayName="AL_Keywords" ma:readOnly="false" ma:default="" ma:fieldId="{99dbb6b4-52f4-42bc-b24c-b960282d400a}" ma:taxonomyMulti="true" ma:sspId="cd2eac8c-8ecc-4645-b318-02844a02f951" ma:termSetId="0c2e27a3-90c0-4eae-bcdf-a2bdcfd6b7f9" ma:anchorId="00000000-0000-0000-0000-000000000000" ma:open="false" ma:isKeyword="false">
      <xsd:complexType>
        <xsd:sequence>
          <xsd:element ref="pc:Terms" minOccurs="0" maxOccurs="1"/>
        </xsd:sequence>
      </xsd:complexType>
    </xsd:element>
    <xsd:element name="Sustainability_x0020_Feature" ma:index="27" ma:displayName="Sustainability Feature" ma:default="Yes" ma:format="Dropdown" ma:internalName="Sustainability_x0020_Feature">
      <xsd:simpleType>
        <xsd:restriction base="dms:Choice">
          <xsd:enumeration value="Yes"/>
          <xsd:enumeration value="No"/>
          <xsd:enumeration value="Unsure"/>
        </xsd:restriction>
      </xsd:simpleType>
    </xsd:element>
  </xsd:schema>
  <xsd:schema xmlns:xsd="http://www.w3.org/2001/XMLSchema" xmlns:xs="http://www.w3.org/2001/XMLSchema" xmlns:dms="http://schemas.microsoft.com/office/2006/documentManagement/types" xmlns:pc="http://schemas.microsoft.com/office/infopath/2007/PartnerControls" targetNamespace="b64dfe67-8052-4ffe-b5cd-8d29095c30a6" elementFormDefault="qualified">
    <xsd:import namespace="http://schemas.microsoft.com/office/2006/documentManagement/types"/>
    <xsd:import namespace="http://schemas.microsoft.com/office/infopath/2007/PartnerControls"/>
    <xsd:element name="pd3afc85837d4c948d575dcb58ce28be" ma:index="17" nillable="true" ma:taxonomy="true" ma:internalName="pd3afc85837d4c948d575dcb58ce28be" ma:taxonomyFieldName="AL_Confidentiality" ma:displayName="AL_Confidentiality" ma:readOnly="false" ma:default="18;#Internal|a181b97f-586d-444f-93f6-a9de4555a416" ma:fieldId="{9d3afc85-837d-4c94-8d57-5dcb58ce28be}" ma:sspId="cd2eac8c-8ecc-4645-b318-02844a02f951" ma:termSetId="0c2e27a3-90c0-4eae-bcdf-a2bdcfd6b7f9" ma:anchorId="cfe00905-7f43-4976-90d2-720634d637e0" ma:open="false" ma:isKeyword="false">
      <xsd:complexType>
        <xsd:sequence>
          <xsd:element ref="pc:Terms" minOccurs="0" maxOccurs="1"/>
        </xsd:sequence>
      </xsd:complexType>
    </xsd:element>
    <xsd:element name="c68dcc8850e3487c9696b709643e4e9d" ma:index="20" nillable="true" ma:taxonomy="true" ma:internalName="c68dcc8850e3487c9696b709643e4e9d" ma:taxonomyFieldName="AL_Learning_Channel" ma:displayName="AL_Learning_Channel" ma:default="" ma:fieldId="{c68dcc88-50e3-487c-9696-b709643e4e9d}" ma:taxonomyMulti="true" ma:sspId="cd2eac8c-8ecc-4645-b318-02844a02f951" ma:termSetId="0c2e27a3-90c0-4eae-bcdf-a2bdcfd6b7f9" ma:anchorId="ff9a02a7-04bf-4114-b65a-7fe2716aeaba"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bb89c972-4a04-4d58-9f04-6f2fa2f1c546"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26682d82-0516-4232-9673-09c8dce24ad4}" ma:internalName="TaxCatchAll" ma:showField="CatchAllData" ma:web="bb89c972-4a04-4d58-9f04-6f2fa2f1c54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C43534E-B43A-441E-823B-6484F7F90583}">
  <ds:schemaRefs>
    <ds:schemaRef ds:uri="http://purl.org/dc/elements/1.1/"/>
    <ds:schemaRef ds:uri="http://schemas.microsoft.com/office/2006/metadata/properties"/>
    <ds:schemaRef ds:uri="http://purl.org/dc/terms/"/>
    <ds:schemaRef ds:uri="98384686-fbeb-4579-ad37-71b10abba422"/>
    <ds:schemaRef ds:uri="http://schemas.microsoft.com/office/2006/documentManagement/types"/>
    <ds:schemaRef ds:uri="http://schemas.microsoft.com/office/infopath/2007/PartnerControls"/>
    <ds:schemaRef ds:uri="http://schemas.openxmlformats.org/package/2006/metadata/core-properties"/>
    <ds:schemaRef ds:uri="bb89c972-4a04-4d58-9f04-6f2fa2f1c546"/>
    <ds:schemaRef ds:uri="b64dfe67-8052-4ffe-b5cd-8d29095c30a6"/>
    <ds:schemaRef ds:uri="http://www.w3.org/XML/1998/namespace"/>
    <ds:schemaRef ds:uri="http://purl.org/dc/dcmitype/"/>
  </ds:schemaRefs>
</ds:datastoreItem>
</file>

<file path=customXml/itemProps2.xml><?xml version="1.0" encoding="utf-8"?>
<ds:datastoreItem xmlns:ds="http://schemas.openxmlformats.org/officeDocument/2006/customXml" ds:itemID="{D4D0E212-D229-46AA-8D7D-D99749E67F2E}">
  <ds:schemaRefs>
    <ds:schemaRef ds:uri="http://schemas.microsoft.com/sharepoint/v3/contenttype/forms"/>
  </ds:schemaRefs>
</ds:datastoreItem>
</file>

<file path=customXml/itemProps3.xml><?xml version="1.0" encoding="utf-8"?>
<ds:datastoreItem xmlns:ds="http://schemas.openxmlformats.org/officeDocument/2006/customXml" ds:itemID="{61762E33-23C0-4418-84C6-73DF47F490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384686-fbeb-4579-ad37-71b10abba422"/>
    <ds:schemaRef ds:uri="b64dfe67-8052-4ffe-b5cd-8d29095c30a6"/>
    <ds:schemaRef ds:uri="bb89c972-4a04-4d58-9f04-6f2fa2f1c54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CALCULATOR00</vt:lpstr>
      <vt:lpstr>ch prep</vt:lpstr>
      <vt:lpstr>CALCULATOR00!Print_Area</vt:lpstr>
    </vt:vector>
  </TitlesOfParts>
  <Company>ExxonMobil or an Affiliate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External  ViU Calculator v4.0</dc:title>
  <dc:creator>DGVDSA1</dc:creator>
  <cp:keywords/>
  <cp:lastModifiedBy>Sarhangi Fard, Arash</cp:lastModifiedBy>
  <cp:lastPrinted>2022-09-30T12:06:56Z</cp:lastPrinted>
  <dcterms:created xsi:type="dcterms:W3CDTF">2009-08-12T12:29:01Z</dcterms:created>
  <dcterms:modified xsi:type="dcterms:W3CDTF">2022-10-18T14:21:04Z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0x010100EBFD56AC52C53346B702CFBFB3E1EB78</vt:lpwstr>
  </property>
  <property fmtid="{D5CDD505-2E9C-101B-9397-08002B2CF9AE}" pid="3" name="IsMyDocuments">
    <vt:bool>true</vt:bool>
  </property>
  <property fmtid="{D5CDD505-2E9C-101B-9397-08002B2CF9AE}" pid="4" name="AL_Keywords">
    <vt:lpwstr/>
  </property>
  <property fmtid="{D5CDD505-2E9C-101B-9397-08002B2CF9AE}" pid="5" name="AL_Confidentiality">
    <vt:lpwstr>18;#Internal|a181b97f-586d-444f-93f6-a9de4555a416</vt:lpwstr>
  </property>
  <property fmtid="{D5CDD505-2E9C-101B-9397-08002B2CF9AE}" pid="6" name="AL_Learning_Channel">
    <vt:lpwstr/>
  </property>
  <property fmtid="{D5CDD505-2E9C-101B-9397-08002B2CF9AE}" pid="7" name="_AdHocReviewCycleID">
    <vt:i4>-1833167860</vt:i4>
  </property>
  <property fmtid="{D5CDD505-2E9C-101B-9397-08002B2CF9AE}" pid="8" name="_NewReviewCycle">
    <vt:lpwstr/>
  </property>
  <property fmtid="{D5CDD505-2E9C-101B-9397-08002B2CF9AE}" pid="9" name="_EmailSubject">
    <vt:lpwstr>ViU tool &amp; calculator</vt:lpwstr>
  </property>
  <property fmtid="{D5CDD505-2E9C-101B-9397-08002B2CF9AE}" pid="10" name="_AuthorEmail">
    <vt:lpwstr>dirk.vandersanden@exxonmobil.com</vt:lpwstr>
  </property>
  <property fmtid="{D5CDD505-2E9C-101B-9397-08002B2CF9AE}" pid="11" name="_AuthorEmailDisplayName">
    <vt:lpwstr>Van Der Sanden, Dirk</vt:lpwstr>
  </property>
  <property fmtid="{D5CDD505-2E9C-101B-9397-08002B2CF9AE}" pid="12" name="_ReviewingToolsShownOnce">
    <vt:lpwstr/>
  </property>
</Properties>
</file>